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19200" windowHeight="6930"/>
  </bookViews>
  <sheets>
    <sheet name="3_statement_model" sheetId="1" r:id="rId1"/>
    <sheet name="Revenue_Build" sheetId="4" r:id="rId2"/>
    <sheet name="Notes" sheetId="3" r:id="rId3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7" i="1" l="1"/>
  <c r="E157" i="1"/>
  <c r="H53" i="1"/>
  <c r="D21" i="4" l="1"/>
  <c r="H53" i="3"/>
  <c r="D167" i="1" l="1"/>
  <c r="E167" i="1"/>
  <c r="F167" i="1"/>
  <c r="G167" i="1"/>
  <c r="H167" i="1"/>
  <c r="I167" i="1"/>
  <c r="J167" i="1"/>
  <c r="K167" i="1"/>
  <c r="L167" i="1"/>
  <c r="C167" i="1"/>
  <c r="D176" i="1"/>
  <c r="E176" i="1"/>
  <c r="F176" i="1"/>
  <c r="G176" i="1"/>
  <c r="C176" i="1"/>
  <c r="D175" i="1"/>
  <c r="E175" i="1"/>
  <c r="F175" i="1"/>
  <c r="G175" i="1"/>
  <c r="C175" i="1"/>
  <c r="D174" i="1"/>
  <c r="C174" i="1"/>
  <c r="D172" i="1"/>
  <c r="E172" i="1"/>
  <c r="F172" i="1"/>
  <c r="G172" i="1"/>
  <c r="C172" i="1"/>
  <c r="D171" i="1"/>
  <c r="E171" i="1"/>
  <c r="F171" i="1"/>
  <c r="G171" i="1"/>
  <c r="C171" i="1"/>
  <c r="G165" i="1"/>
  <c r="F165" i="1"/>
  <c r="E165" i="1"/>
  <c r="D165" i="1"/>
  <c r="H165" i="1"/>
  <c r="C165" i="1"/>
  <c r="I127" i="1"/>
  <c r="J127" i="1"/>
  <c r="K127" i="1"/>
  <c r="L127" i="1"/>
  <c r="C164" i="1"/>
  <c r="D164" i="1"/>
  <c r="E164" i="1"/>
  <c r="F164" i="1"/>
  <c r="G164" i="1"/>
  <c r="D20" i="1" l="1"/>
  <c r="E20" i="1"/>
  <c r="F20" i="1"/>
  <c r="G20" i="1"/>
  <c r="C20" i="1"/>
  <c r="D19" i="1"/>
  <c r="E19" i="1"/>
  <c r="F19" i="1"/>
  <c r="G19" i="1"/>
  <c r="C19" i="1"/>
  <c r="I19" i="1"/>
  <c r="J19" i="1"/>
  <c r="K19" i="1"/>
  <c r="L19" i="1"/>
  <c r="H127" i="1"/>
  <c r="H19" i="1" s="1"/>
  <c r="H163" i="1"/>
  <c r="D166" i="1"/>
  <c r="E166" i="1"/>
  <c r="F166" i="1"/>
  <c r="G166" i="1"/>
  <c r="D13" i="1"/>
  <c r="E13" i="1"/>
  <c r="F13" i="1"/>
  <c r="G13" i="1"/>
  <c r="C13" i="1"/>
  <c r="H156" i="1"/>
  <c r="H42" i="1"/>
  <c r="I42" i="1" s="1"/>
  <c r="J42" i="1" s="1"/>
  <c r="K42" i="1" s="1"/>
  <c r="L42" i="1" s="1"/>
  <c r="D5" i="3"/>
  <c r="G131" i="1"/>
  <c r="F131" i="1"/>
  <c r="E131" i="1"/>
  <c r="D131" i="1"/>
  <c r="C131" i="1"/>
  <c r="G123" i="1"/>
  <c r="F123" i="1"/>
  <c r="E123" i="1"/>
  <c r="D123" i="1"/>
  <c r="C123" i="1"/>
  <c r="D115" i="1"/>
  <c r="E115" i="1"/>
  <c r="F115" i="1"/>
  <c r="G115" i="1"/>
  <c r="C115" i="1"/>
  <c r="D110" i="1"/>
  <c r="E110" i="1"/>
  <c r="F110" i="1"/>
  <c r="G110" i="1"/>
  <c r="C110" i="1"/>
  <c r="G95" i="1"/>
  <c r="H93" i="1"/>
  <c r="I93" i="1" s="1"/>
  <c r="J93" i="1" s="1"/>
  <c r="K93" i="1" s="1"/>
  <c r="H91" i="1"/>
  <c r="H65" i="1"/>
  <c r="I65" i="1" s="1"/>
  <c r="J65" i="1" s="1"/>
  <c r="K65" i="1" s="1"/>
  <c r="L65" i="1" s="1"/>
  <c r="H71" i="1"/>
  <c r="I71" i="1" s="1"/>
  <c r="J71" i="1" s="1"/>
  <c r="K71" i="1" s="1"/>
  <c r="L71" i="1" s="1"/>
  <c r="H74" i="1"/>
  <c r="I74" i="1" s="1"/>
  <c r="J74" i="1" s="1"/>
  <c r="K74" i="1" s="1"/>
  <c r="L74" i="1" s="1"/>
  <c r="H87" i="1"/>
  <c r="I87" i="1" s="1"/>
  <c r="J87" i="1" s="1"/>
  <c r="K87" i="1" s="1"/>
  <c r="L87" i="1" s="1"/>
  <c r="H86" i="1"/>
  <c r="I86" i="1" s="1"/>
  <c r="J86" i="1" s="1"/>
  <c r="K86" i="1" s="1"/>
  <c r="L86" i="1" s="1"/>
  <c r="H81" i="1"/>
  <c r="I81" i="1" s="1"/>
  <c r="J81" i="1" s="1"/>
  <c r="K81" i="1" s="1"/>
  <c r="L81" i="1" s="1"/>
  <c r="H72" i="1"/>
  <c r="I72" i="1" s="1"/>
  <c r="J72" i="1" s="1"/>
  <c r="K72" i="1" s="1"/>
  <c r="L72" i="1" s="1"/>
  <c r="H73" i="1"/>
  <c r="I73" i="1" s="1"/>
  <c r="J73" i="1" s="1"/>
  <c r="K73" i="1" s="1"/>
  <c r="L73" i="1" s="1"/>
  <c r="C159" i="1"/>
  <c r="C166" i="1"/>
  <c r="D12" i="1"/>
  <c r="E12" i="1"/>
  <c r="F12" i="1"/>
  <c r="G12" i="1"/>
  <c r="C12" i="1"/>
  <c r="D159" i="1"/>
  <c r="E159" i="1"/>
  <c r="F159" i="1"/>
  <c r="G159" i="1"/>
  <c r="D18" i="1"/>
  <c r="E18" i="1"/>
  <c r="F18" i="1"/>
  <c r="G18" i="1"/>
  <c r="C18" i="1"/>
  <c r="D151" i="1"/>
  <c r="E151" i="1"/>
  <c r="F151" i="1"/>
  <c r="G151" i="1"/>
  <c r="C151" i="1"/>
  <c r="D150" i="1"/>
  <c r="E150" i="1"/>
  <c r="F150" i="1"/>
  <c r="G150" i="1"/>
  <c r="C150" i="1"/>
  <c r="D149" i="1"/>
  <c r="E149" i="1"/>
  <c r="F149" i="1"/>
  <c r="G149" i="1"/>
  <c r="C149" i="1"/>
  <c r="D17" i="1"/>
  <c r="E17" i="1"/>
  <c r="F17" i="1"/>
  <c r="G17" i="1"/>
  <c r="C17" i="1"/>
  <c r="D16" i="1"/>
  <c r="E16" i="1"/>
  <c r="F16" i="1"/>
  <c r="G16" i="1"/>
  <c r="C16" i="1"/>
  <c r="D15" i="1"/>
  <c r="E15" i="1"/>
  <c r="F15" i="1"/>
  <c r="G15" i="1"/>
  <c r="C15" i="1"/>
  <c r="H36" i="3"/>
  <c r="G36" i="3" s="1"/>
  <c r="D11" i="1"/>
  <c r="E11" i="1"/>
  <c r="F11" i="1"/>
  <c r="G11" i="1"/>
  <c r="C11" i="1"/>
  <c r="D10" i="1"/>
  <c r="E10" i="1"/>
  <c r="F10" i="1"/>
  <c r="G10" i="1"/>
  <c r="C10" i="1"/>
  <c r="D9" i="1"/>
  <c r="E9" i="1"/>
  <c r="F9" i="1"/>
  <c r="G9" i="1"/>
  <c r="C9" i="1"/>
  <c r="C8" i="1"/>
  <c r="I61" i="3"/>
  <c r="C66" i="3"/>
  <c r="C57" i="3"/>
  <c r="H13" i="1" s="1"/>
  <c r="C50" i="3"/>
  <c r="C49" i="3"/>
  <c r="C48" i="3"/>
  <c r="C47" i="3"/>
  <c r="H17" i="1" s="1"/>
  <c r="C45" i="3"/>
  <c r="H15" i="1" s="1"/>
  <c r="H46" i="3"/>
  <c r="C46" i="3" s="1"/>
  <c r="H16" i="1" s="1"/>
  <c r="I16" i="1" s="1"/>
  <c r="J16" i="1" s="1"/>
  <c r="K16" i="1" s="1"/>
  <c r="L16" i="1" s="1"/>
  <c r="I46" i="3"/>
  <c r="G46" i="3"/>
  <c r="C64" i="3"/>
  <c r="C65" i="3" s="1"/>
  <c r="C62" i="3"/>
  <c r="I128" i="1" s="1"/>
  <c r="C61" i="3"/>
  <c r="H57" i="1" s="1"/>
  <c r="H15" i="4"/>
  <c r="I15" i="4" s="1"/>
  <c r="J15" i="4" s="1"/>
  <c r="K15" i="4" s="1"/>
  <c r="L15" i="4" s="1"/>
  <c r="C160" i="1" l="1"/>
  <c r="D156" i="1" s="1"/>
  <c r="D160" i="1" s="1"/>
  <c r="E156" i="1" s="1"/>
  <c r="H166" i="1"/>
  <c r="H41" i="1" s="1"/>
  <c r="C41" i="3"/>
  <c r="H18" i="1" s="1"/>
  <c r="I18" i="1" s="1"/>
  <c r="J18" i="1" s="1"/>
  <c r="K18" i="1" s="1"/>
  <c r="L18" i="1" s="1"/>
  <c r="C35" i="3"/>
  <c r="H10" i="1" s="1"/>
  <c r="I10" i="1" s="1"/>
  <c r="J10" i="1" s="1"/>
  <c r="K10" i="1" s="1"/>
  <c r="L10" i="1" s="1"/>
  <c r="I20" i="1"/>
  <c r="I57" i="1"/>
  <c r="H128" i="1"/>
  <c r="H20" i="1" s="1"/>
  <c r="L128" i="1"/>
  <c r="L20" i="1" s="1"/>
  <c r="K128" i="1"/>
  <c r="J128" i="1"/>
  <c r="G58" i="1"/>
  <c r="D152" i="1"/>
  <c r="C152" i="1"/>
  <c r="G152" i="1"/>
  <c r="I91" i="1"/>
  <c r="F152" i="1"/>
  <c r="E152" i="1"/>
  <c r="L93" i="1"/>
  <c r="I13" i="1"/>
  <c r="C40" i="3"/>
  <c r="H12" i="1" s="1"/>
  <c r="I15" i="1"/>
  <c r="I17" i="1"/>
  <c r="J17" i="1" s="1"/>
  <c r="K17" i="1" s="1"/>
  <c r="L17" i="1" s="1"/>
  <c r="I36" i="3"/>
  <c r="C36" i="3"/>
  <c r="H11" i="1" s="1"/>
  <c r="H12" i="4"/>
  <c r="I12" i="4" s="1"/>
  <c r="J12" i="4" s="1"/>
  <c r="K12" i="4" s="1"/>
  <c r="L12" i="4" s="1"/>
  <c r="C24" i="3"/>
  <c r="C25" i="3"/>
  <c r="C26" i="3"/>
  <c r="C27" i="3"/>
  <c r="C23" i="3"/>
  <c r="C18" i="3"/>
  <c r="C19" i="3"/>
  <c r="C20" i="3"/>
  <c r="C21" i="3"/>
  <c r="C17" i="3"/>
  <c r="C12" i="3"/>
  <c r="H9" i="4" s="1"/>
  <c r="C13" i="3"/>
  <c r="H10" i="4" s="1"/>
  <c r="C14" i="3"/>
  <c r="H11" i="4" s="1"/>
  <c r="C15" i="3"/>
  <c r="H14" i="4" s="1"/>
  <c r="C11" i="3"/>
  <c r="H8" i="4" s="1"/>
  <c r="C40" i="4"/>
  <c r="G39" i="4"/>
  <c r="G40" i="4" s="1"/>
  <c r="F39" i="4"/>
  <c r="F40" i="4" s="1"/>
  <c r="E39" i="4"/>
  <c r="E40" i="4" s="1"/>
  <c r="G38" i="4"/>
  <c r="F38" i="4"/>
  <c r="E38" i="4"/>
  <c r="D38" i="4"/>
  <c r="D39" i="4" s="1"/>
  <c r="D40" i="4" s="1"/>
  <c r="C38" i="4"/>
  <c r="C39" i="4" s="1"/>
  <c r="E29" i="4"/>
  <c r="D31" i="4"/>
  <c r="E25" i="4"/>
  <c r="F25" i="4"/>
  <c r="G25" i="4"/>
  <c r="D25" i="4"/>
  <c r="E24" i="4"/>
  <c r="F24" i="4"/>
  <c r="G24" i="4"/>
  <c r="D24" i="4"/>
  <c r="E23" i="4"/>
  <c r="F23" i="4"/>
  <c r="G23" i="4"/>
  <c r="D23" i="4"/>
  <c r="E22" i="4"/>
  <c r="F22" i="4"/>
  <c r="G22" i="4"/>
  <c r="D22" i="4"/>
  <c r="E21" i="4"/>
  <c r="F21" i="4"/>
  <c r="G21" i="4"/>
  <c r="C18" i="4"/>
  <c r="G16" i="4"/>
  <c r="G29" i="4" s="1"/>
  <c r="F16" i="4"/>
  <c r="F28" i="4" s="1"/>
  <c r="E16" i="4"/>
  <c r="E31" i="4" s="1"/>
  <c r="D16" i="4"/>
  <c r="D18" i="4" s="1"/>
  <c r="C16" i="4"/>
  <c r="C31" i="4" s="1"/>
  <c r="G13" i="4"/>
  <c r="F13" i="4"/>
  <c r="E13" i="4"/>
  <c r="D13" i="4"/>
  <c r="C13" i="4"/>
  <c r="D153" i="1" l="1"/>
  <c r="E160" i="1"/>
  <c r="F156" i="1" s="1"/>
  <c r="F153" i="1"/>
  <c r="J15" i="1"/>
  <c r="K15" i="1" s="1"/>
  <c r="L15" i="1" s="1"/>
  <c r="J57" i="1"/>
  <c r="J20" i="1"/>
  <c r="H58" i="1"/>
  <c r="H55" i="1" s="1"/>
  <c r="K20" i="1"/>
  <c r="G153" i="1"/>
  <c r="E153" i="1"/>
  <c r="J91" i="1"/>
  <c r="I12" i="1"/>
  <c r="J13" i="1"/>
  <c r="I11" i="1"/>
  <c r="C29" i="4"/>
  <c r="C30" i="4"/>
  <c r="C28" i="4"/>
  <c r="C32" i="4"/>
  <c r="D28" i="4"/>
  <c r="E32" i="4"/>
  <c r="D32" i="4"/>
  <c r="E30" i="4"/>
  <c r="G32" i="4"/>
  <c r="F17" i="4"/>
  <c r="F32" i="4"/>
  <c r="F30" i="4"/>
  <c r="F31" i="4"/>
  <c r="F29" i="4"/>
  <c r="F18" i="4"/>
  <c r="G28" i="4"/>
  <c r="D30" i="4"/>
  <c r="G31" i="4"/>
  <c r="G18" i="4"/>
  <c r="E18" i="4"/>
  <c r="D29" i="4"/>
  <c r="G30" i="4"/>
  <c r="E28" i="4"/>
  <c r="I8" i="4"/>
  <c r="J8" i="4" s="1"/>
  <c r="H21" i="4"/>
  <c r="I11" i="4"/>
  <c r="H24" i="4"/>
  <c r="I10" i="4"/>
  <c r="H23" i="4"/>
  <c r="I9" i="4"/>
  <c r="H22" i="4"/>
  <c r="H13" i="4"/>
  <c r="H16" i="4" s="1"/>
  <c r="I14" i="4"/>
  <c r="J14" i="4" s="1"/>
  <c r="H25" i="4"/>
  <c r="D17" i="4"/>
  <c r="E17" i="4"/>
  <c r="G17" i="4"/>
  <c r="C84" i="1"/>
  <c r="C88" i="1" s="1"/>
  <c r="F160" i="1" l="1"/>
  <c r="K57" i="1"/>
  <c r="H56" i="1"/>
  <c r="H129" i="1"/>
  <c r="H131" i="1" s="1"/>
  <c r="H176" i="1" s="1"/>
  <c r="I58" i="1"/>
  <c r="K91" i="1"/>
  <c r="K13" i="1"/>
  <c r="J12" i="1"/>
  <c r="J11" i="1"/>
  <c r="H31" i="4"/>
  <c r="H17" i="4"/>
  <c r="C30" i="3" s="1"/>
  <c r="H30" i="4"/>
  <c r="H32" i="4"/>
  <c r="J25" i="4"/>
  <c r="K14" i="4"/>
  <c r="L14" i="4" s="1"/>
  <c r="J10" i="4"/>
  <c r="I23" i="4"/>
  <c r="J11" i="4"/>
  <c r="I24" i="4"/>
  <c r="I13" i="4"/>
  <c r="I16" i="4" s="1"/>
  <c r="I31" i="4" s="1"/>
  <c r="H29" i="4"/>
  <c r="H28" i="4"/>
  <c r="J9" i="4"/>
  <c r="I22" i="4"/>
  <c r="I25" i="4"/>
  <c r="H28" i="1"/>
  <c r="H171" i="1" s="1"/>
  <c r="J21" i="4"/>
  <c r="I21" i="4"/>
  <c r="K8" i="4"/>
  <c r="E29" i="1"/>
  <c r="E8" i="1" s="1"/>
  <c r="F29" i="1"/>
  <c r="F8" i="1" s="1"/>
  <c r="G29" i="1"/>
  <c r="G8" i="1" s="1"/>
  <c r="D29" i="1"/>
  <c r="D8" i="1" s="1"/>
  <c r="G156" i="1" l="1"/>
  <c r="J58" i="1"/>
  <c r="I55" i="1"/>
  <c r="H68" i="1"/>
  <c r="H109" i="1"/>
  <c r="H92" i="1" s="1"/>
  <c r="L57" i="1"/>
  <c r="L91" i="1"/>
  <c r="H158" i="1"/>
  <c r="H82" i="1"/>
  <c r="H159" i="1"/>
  <c r="H108" i="1" s="1"/>
  <c r="K12" i="1"/>
  <c r="L13" i="1"/>
  <c r="H34" i="1"/>
  <c r="H66" i="1"/>
  <c r="H35" i="1"/>
  <c r="K11" i="1"/>
  <c r="H29" i="1"/>
  <c r="H8" i="1" s="1"/>
  <c r="I29" i="4"/>
  <c r="I28" i="4"/>
  <c r="I30" i="4"/>
  <c r="I32" i="4"/>
  <c r="K11" i="4"/>
  <c r="J24" i="4"/>
  <c r="K10" i="4"/>
  <c r="J23" i="4"/>
  <c r="L25" i="4"/>
  <c r="K9" i="4"/>
  <c r="J22" i="4"/>
  <c r="K25" i="4"/>
  <c r="J13" i="4"/>
  <c r="J16" i="4" s="1"/>
  <c r="J30" i="4" s="1"/>
  <c r="K21" i="4"/>
  <c r="I17" i="4"/>
  <c r="I28" i="1"/>
  <c r="I171" i="1" s="1"/>
  <c r="L8" i="4"/>
  <c r="F95" i="1"/>
  <c r="E95" i="1"/>
  <c r="D95" i="1"/>
  <c r="C95" i="1"/>
  <c r="C97" i="1" s="1"/>
  <c r="G84" i="1"/>
  <c r="G88" i="1" s="1"/>
  <c r="G97" i="1" s="1"/>
  <c r="F84" i="1"/>
  <c r="F88" i="1" s="1"/>
  <c r="E84" i="1"/>
  <c r="E88" i="1" s="1"/>
  <c r="D84" i="1"/>
  <c r="D88" i="1" s="1"/>
  <c r="G69" i="1"/>
  <c r="G75" i="1" s="1"/>
  <c r="F69" i="1"/>
  <c r="F75" i="1" s="1"/>
  <c r="E69" i="1"/>
  <c r="E75" i="1" s="1"/>
  <c r="D69" i="1"/>
  <c r="D75" i="1" s="1"/>
  <c r="C69" i="1"/>
  <c r="C75" i="1" s="1"/>
  <c r="C99" i="1" s="1"/>
  <c r="G36" i="1"/>
  <c r="F36" i="1"/>
  <c r="F37" i="1" s="1"/>
  <c r="E36" i="1"/>
  <c r="E37" i="1" s="1"/>
  <c r="D36" i="1"/>
  <c r="D37" i="1" s="1"/>
  <c r="C36" i="1"/>
  <c r="G31" i="1"/>
  <c r="F31" i="1"/>
  <c r="E31" i="1"/>
  <c r="D31" i="1"/>
  <c r="C31" i="1"/>
  <c r="G157" i="1" l="1"/>
  <c r="G160" i="1" s="1"/>
  <c r="K13" i="4"/>
  <c r="K16" i="4" s="1"/>
  <c r="K28" i="4" s="1"/>
  <c r="H120" i="1"/>
  <c r="H123" i="1" s="1"/>
  <c r="H175" i="1" s="1"/>
  <c r="H160" i="1"/>
  <c r="G99" i="1"/>
  <c r="H110" i="1"/>
  <c r="H114" i="1"/>
  <c r="I56" i="1"/>
  <c r="I129" i="1"/>
  <c r="I131" i="1" s="1"/>
  <c r="I176" i="1" s="1"/>
  <c r="I68" i="1"/>
  <c r="I109" i="1"/>
  <c r="I92" i="1" s="1"/>
  <c r="K58" i="1"/>
  <c r="K55" i="1" s="1"/>
  <c r="H149" i="1"/>
  <c r="H111" i="1"/>
  <c r="J55" i="1"/>
  <c r="I156" i="1"/>
  <c r="I158" i="1"/>
  <c r="I120" i="1" s="1"/>
  <c r="I123" i="1" s="1"/>
  <c r="I175" i="1" s="1"/>
  <c r="I82" i="1"/>
  <c r="I159" i="1"/>
  <c r="I108" i="1" s="1"/>
  <c r="L12" i="1"/>
  <c r="I34" i="1"/>
  <c r="I66" i="1"/>
  <c r="I111" i="1" s="1"/>
  <c r="I35" i="1"/>
  <c r="L11" i="1"/>
  <c r="H36" i="1"/>
  <c r="G37" i="1"/>
  <c r="I29" i="1"/>
  <c r="I8" i="1" s="1"/>
  <c r="L10" i="4"/>
  <c r="K30" i="4"/>
  <c r="K23" i="4"/>
  <c r="K17" i="4"/>
  <c r="K28" i="1"/>
  <c r="K171" i="1" s="1"/>
  <c r="J17" i="4"/>
  <c r="J28" i="1"/>
  <c r="J171" i="1" s="1"/>
  <c r="J32" i="4"/>
  <c r="J28" i="4"/>
  <c r="K32" i="4"/>
  <c r="J31" i="4"/>
  <c r="L21" i="4"/>
  <c r="J29" i="4"/>
  <c r="L9" i="4"/>
  <c r="K22" i="4"/>
  <c r="K29" i="4"/>
  <c r="L11" i="4"/>
  <c r="K24" i="4"/>
  <c r="K31" i="4"/>
  <c r="C44" i="1"/>
  <c r="C49" i="1" s="1"/>
  <c r="C32" i="1"/>
  <c r="D97" i="1"/>
  <c r="D99" i="1" s="1"/>
  <c r="F39" i="1"/>
  <c r="F40" i="1" s="1"/>
  <c r="F32" i="1"/>
  <c r="E39" i="1"/>
  <c r="E40" i="1" s="1"/>
  <c r="E32" i="1"/>
  <c r="D39" i="1"/>
  <c r="D40" i="1" s="1"/>
  <c r="D32" i="1"/>
  <c r="C37" i="1"/>
  <c r="E97" i="1"/>
  <c r="E99" i="1" s="1"/>
  <c r="G39" i="1"/>
  <c r="G40" i="1" s="1"/>
  <c r="G32" i="1"/>
  <c r="C39" i="1"/>
  <c r="C40" i="1" s="1"/>
  <c r="F97" i="1"/>
  <c r="F99" i="1" s="1"/>
  <c r="D44" i="1"/>
  <c r="E44" i="1"/>
  <c r="G44" i="1"/>
  <c r="F44" i="1"/>
  <c r="F47" i="1" s="1"/>
  <c r="F14" i="1" s="1"/>
  <c r="I160" i="1" l="1"/>
  <c r="J156" i="1" s="1"/>
  <c r="I110" i="1"/>
  <c r="H34" i="3"/>
  <c r="K56" i="1"/>
  <c r="K129" i="1"/>
  <c r="K131" i="1" s="1"/>
  <c r="K176" i="1" s="1"/>
  <c r="I114" i="1"/>
  <c r="K68" i="1"/>
  <c r="K109" i="1"/>
  <c r="J68" i="1"/>
  <c r="K114" i="1" s="1"/>
  <c r="J109" i="1"/>
  <c r="J92" i="1" s="1"/>
  <c r="L58" i="1"/>
  <c r="L55" i="1" s="1"/>
  <c r="J56" i="1"/>
  <c r="J129" i="1"/>
  <c r="J131" i="1" s="1"/>
  <c r="J176" i="1" s="1"/>
  <c r="I149" i="1"/>
  <c r="H70" i="1"/>
  <c r="J158" i="1"/>
  <c r="J120" i="1" s="1"/>
  <c r="J123" i="1" s="1"/>
  <c r="J175" i="1" s="1"/>
  <c r="J82" i="1"/>
  <c r="J159" i="1"/>
  <c r="J108" i="1" s="1"/>
  <c r="K82" i="1"/>
  <c r="K158" i="1"/>
  <c r="K120" i="1" s="1"/>
  <c r="K123" i="1" s="1"/>
  <c r="K175" i="1" s="1"/>
  <c r="K159" i="1"/>
  <c r="K108" i="1" s="1"/>
  <c r="K34" i="1"/>
  <c r="K66" i="1"/>
  <c r="J34" i="1"/>
  <c r="J66" i="1"/>
  <c r="J111" i="1" s="1"/>
  <c r="J35" i="1"/>
  <c r="K35" i="1"/>
  <c r="I36" i="1"/>
  <c r="I37" i="1" s="1"/>
  <c r="H37" i="1"/>
  <c r="J29" i="1"/>
  <c r="J8" i="1" s="1"/>
  <c r="L22" i="4"/>
  <c r="L13" i="4"/>
  <c r="L16" i="4" s="1"/>
  <c r="L29" i="4" s="1"/>
  <c r="K29" i="1"/>
  <c r="K8" i="1" s="1"/>
  <c r="L24" i="4"/>
  <c r="L23" i="4"/>
  <c r="D49" i="1"/>
  <c r="D53" i="1" s="1"/>
  <c r="D47" i="1"/>
  <c r="D14" i="1" s="1"/>
  <c r="G47" i="1"/>
  <c r="E47" i="1"/>
  <c r="E14" i="1" s="1"/>
  <c r="C47" i="1"/>
  <c r="C14" i="1" s="1"/>
  <c r="C50" i="1"/>
  <c r="G49" i="1"/>
  <c r="G50" i="1" s="1"/>
  <c r="E49" i="1"/>
  <c r="E50" i="1" s="1"/>
  <c r="F49" i="1"/>
  <c r="F50" i="1" s="1"/>
  <c r="J160" i="1" l="1"/>
  <c r="K156" i="1" s="1"/>
  <c r="C34" i="3"/>
  <c r="H32" i="1" s="1"/>
  <c r="H172" i="1" s="1"/>
  <c r="I34" i="3"/>
  <c r="G34" i="3"/>
  <c r="J110" i="1"/>
  <c r="L56" i="1"/>
  <c r="L129" i="1"/>
  <c r="L131" i="1" s="1"/>
  <c r="L176" i="1" s="1"/>
  <c r="K149" i="1"/>
  <c r="J114" i="1"/>
  <c r="J149" i="1"/>
  <c r="K111" i="1"/>
  <c r="K92" i="1"/>
  <c r="K110" i="1"/>
  <c r="I70" i="1"/>
  <c r="C53" i="3"/>
  <c r="H14" i="1" s="1"/>
  <c r="I14" i="1" s="1"/>
  <c r="G14" i="1"/>
  <c r="I53" i="3"/>
  <c r="L31" i="4"/>
  <c r="L30" i="4"/>
  <c r="K36" i="1"/>
  <c r="J36" i="1"/>
  <c r="L17" i="4"/>
  <c r="L28" i="1"/>
  <c r="L171" i="1" s="1"/>
  <c r="L32" i="4"/>
  <c r="L28" i="4"/>
  <c r="D54" i="1"/>
  <c r="D107" i="1"/>
  <c r="D116" i="1" s="1"/>
  <c r="D50" i="1"/>
  <c r="E54" i="1"/>
  <c r="E53" i="1"/>
  <c r="C53" i="1"/>
  <c r="C54" i="1"/>
  <c r="F53" i="1"/>
  <c r="F54" i="1"/>
  <c r="G53" i="1"/>
  <c r="G54" i="1"/>
  <c r="G107" i="1"/>
  <c r="E107" i="1"/>
  <c r="C107" i="1"/>
  <c r="C116" i="1" s="1"/>
  <c r="F107" i="1"/>
  <c r="F116" i="1" s="1"/>
  <c r="F174" i="1" s="1"/>
  <c r="K160" i="1" l="1"/>
  <c r="K70" i="1" s="1"/>
  <c r="C134" i="1"/>
  <c r="C137" i="1" s="1"/>
  <c r="C141" i="1"/>
  <c r="F141" i="1"/>
  <c r="F134" i="1"/>
  <c r="D134" i="1"/>
  <c r="D141" i="1"/>
  <c r="I32" i="1"/>
  <c r="I172" i="1" s="1"/>
  <c r="H31" i="1"/>
  <c r="L68" i="1"/>
  <c r="L114" i="1" s="1"/>
  <c r="L109" i="1"/>
  <c r="L92" i="1" s="1"/>
  <c r="G116" i="1"/>
  <c r="G174" i="1" s="1"/>
  <c r="E116" i="1"/>
  <c r="E174" i="1" s="1"/>
  <c r="J70" i="1"/>
  <c r="H47" i="1"/>
  <c r="L158" i="1"/>
  <c r="L120" i="1" s="1"/>
  <c r="L123" i="1" s="1"/>
  <c r="L175" i="1" s="1"/>
  <c r="L82" i="1"/>
  <c r="L159" i="1"/>
  <c r="L108" i="1" s="1"/>
  <c r="L34" i="1"/>
  <c r="L66" i="1"/>
  <c r="L35" i="1"/>
  <c r="I47" i="1"/>
  <c r="J14" i="1"/>
  <c r="J37" i="1"/>
  <c r="K37" i="1"/>
  <c r="L29" i="1"/>
  <c r="L8" i="1" s="1"/>
  <c r="L156" i="1" l="1"/>
  <c r="L160" i="1" s="1"/>
  <c r="E141" i="1"/>
  <c r="E134" i="1"/>
  <c r="D142" i="1"/>
  <c r="D143" i="1"/>
  <c r="F143" i="1"/>
  <c r="F142" i="1"/>
  <c r="G141" i="1"/>
  <c r="G134" i="1"/>
  <c r="C142" i="1"/>
  <c r="C143" i="1"/>
  <c r="H30" i="1"/>
  <c r="H39" i="1"/>
  <c r="H40" i="1" s="1"/>
  <c r="J32" i="1"/>
  <c r="J172" i="1" s="1"/>
  <c r="I31" i="1"/>
  <c r="D136" i="1"/>
  <c r="D137" i="1" s="1"/>
  <c r="C138" i="1"/>
  <c r="L110" i="1"/>
  <c r="L149" i="1"/>
  <c r="L111" i="1"/>
  <c r="L70" i="1"/>
  <c r="K14" i="1"/>
  <c r="J47" i="1"/>
  <c r="L36" i="1"/>
  <c r="D138" i="1" l="1"/>
  <c r="E136" i="1"/>
  <c r="E137" i="1" s="1"/>
  <c r="G143" i="1"/>
  <c r="G142" i="1"/>
  <c r="I30" i="1"/>
  <c r="I39" i="1"/>
  <c r="I40" i="1" s="1"/>
  <c r="K32" i="1"/>
  <c r="K172" i="1" s="1"/>
  <c r="J31" i="1"/>
  <c r="H80" i="1"/>
  <c r="H151" i="1" s="1"/>
  <c r="H67" i="1"/>
  <c r="H9" i="1"/>
  <c r="E143" i="1"/>
  <c r="E142" i="1"/>
  <c r="L14" i="1"/>
  <c r="L47" i="1" s="1"/>
  <c r="K47" i="1"/>
  <c r="L37" i="1"/>
  <c r="J30" i="1" l="1"/>
  <c r="J39" i="1"/>
  <c r="J40" i="1" s="1"/>
  <c r="I9" i="1"/>
  <c r="I80" i="1"/>
  <c r="I151" i="1" s="1"/>
  <c r="I67" i="1"/>
  <c r="H150" i="1"/>
  <c r="H152" i="1" s="1"/>
  <c r="H153" i="1" s="1"/>
  <c r="H112" i="1"/>
  <c r="I112" i="1"/>
  <c r="F136" i="1"/>
  <c r="F137" i="1" s="1"/>
  <c r="E138" i="1"/>
  <c r="L32" i="1"/>
  <c r="K31" i="1"/>
  <c r="L31" i="1" l="1"/>
  <c r="L172" i="1"/>
  <c r="I150" i="1"/>
  <c r="I152" i="1" s="1"/>
  <c r="I153" i="1" s="1"/>
  <c r="K30" i="1"/>
  <c r="K39" i="1"/>
  <c r="K40" i="1" s="1"/>
  <c r="L30" i="1"/>
  <c r="L39" i="1"/>
  <c r="L40" i="1" s="1"/>
  <c r="F138" i="1"/>
  <c r="G136" i="1"/>
  <c r="G137" i="1" s="1"/>
  <c r="J9" i="1"/>
  <c r="J80" i="1"/>
  <c r="J151" i="1" s="1"/>
  <c r="J67" i="1"/>
  <c r="G138" i="1" l="1"/>
  <c r="H136" i="1"/>
  <c r="J150" i="1"/>
  <c r="J152" i="1" s="1"/>
  <c r="J153" i="1" s="1"/>
  <c r="L80" i="1"/>
  <c r="L151" i="1" s="1"/>
  <c r="L67" i="1"/>
  <c r="L9" i="1"/>
  <c r="J112" i="1"/>
  <c r="K9" i="1"/>
  <c r="K80" i="1"/>
  <c r="K151" i="1" s="1"/>
  <c r="K67" i="1"/>
  <c r="K150" i="1" s="1"/>
  <c r="H44" i="1"/>
  <c r="K152" i="1" l="1"/>
  <c r="K153" i="1" s="1"/>
  <c r="K112" i="1"/>
  <c r="L112" i="1"/>
  <c r="L150" i="1"/>
  <c r="L152" i="1" s="1"/>
  <c r="H46" i="1"/>
  <c r="H83" i="1" s="1"/>
  <c r="L153" i="1" l="1"/>
  <c r="H84" i="1"/>
  <c r="H113" i="1"/>
  <c r="H49" i="1"/>
  <c r="H94" i="1" l="1"/>
  <c r="H95" i="1" s="1"/>
  <c r="H107" i="1"/>
  <c r="H50" i="1"/>
  <c r="H54" i="1"/>
  <c r="H115" i="1"/>
  <c r="H116" i="1" s="1"/>
  <c r="H174" i="1" s="1"/>
  <c r="D163" i="1"/>
  <c r="E163" i="1" s="1"/>
  <c r="F163" i="1" l="1"/>
  <c r="H134" i="1"/>
  <c r="H137" i="1" s="1"/>
  <c r="H141" i="1"/>
  <c r="G163" i="1" l="1"/>
  <c r="H142" i="1"/>
  <c r="H143" i="1"/>
  <c r="I136" i="1"/>
  <c r="H64" i="1"/>
  <c r="H138" i="1" s="1"/>
  <c r="H69" i="1" l="1"/>
  <c r="H75" i="1" s="1"/>
  <c r="H85" i="1" l="1"/>
  <c r="H88" i="1" s="1"/>
  <c r="H97" i="1" s="1"/>
  <c r="H99" i="1" s="1"/>
  <c r="I163" i="1"/>
  <c r="I165" i="1" s="1"/>
  <c r="J163" i="1" s="1"/>
  <c r="I166" i="1"/>
  <c r="I41" i="1" s="1"/>
  <c r="I44" i="1" s="1"/>
  <c r="J165" i="1" l="1"/>
  <c r="I46" i="1"/>
  <c r="I83" i="1" s="1"/>
  <c r="I85" i="1"/>
  <c r="I113" i="1" l="1"/>
  <c r="I115" i="1" s="1"/>
  <c r="I84" i="1"/>
  <c r="I88" i="1" s="1"/>
  <c r="I49" i="1"/>
  <c r="J85" i="1"/>
  <c r="K163" i="1"/>
  <c r="I94" i="1" l="1"/>
  <c r="I107" i="1"/>
  <c r="I116" i="1" s="1"/>
  <c r="I174" i="1" s="1"/>
  <c r="I50" i="1"/>
  <c r="I53" i="1"/>
  <c r="I54" i="1"/>
  <c r="K165" i="1"/>
  <c r="L163" i="1" l="1"/>
  <c r="K85" i="1"/>
  <c r="I141" i="1"/>
  <c r="I134" i="1"/>
  <c r="I137" i="1" s="1"/>
  <c r="I95" i="1"/>
  <c r="I97" i="1" s="1"/>
  <c r="I142" i="1" l="1"/>
  <c r="I143" i="1"/>
  <c r="I64" i="1"/>
  <c r="I138" i="1" s="1"/>
  <c r="J136" i="1"/>
  <c r="L165" i="1"/>
  <c r="L85" i="1" s="1"/>
  <c r="I69" i="1" l="1"/>
  <c r="I75" i="1" s="1"/>
  <c r="I99" i="1" s="1"/>
  <c r="J166" i="1"/>
  <c r="J41" i="1" s="1"/>
  <c r="J44" i="1" s="1"/>
  <c r="J46" i="1" l="1"/>
  <c r="J83" i="1" s="1"/>
  <c r="J49" i="1" l="1"/>
  <c r="J54" i="1" s="1"/>
  <c r="J113" i="1"/>
  <c r="J115" i="1" s="1"/>
  <c r="J84" i="1"/>
  <c r="J88" i="1" s="1"/>
  <c r="J94" i="1" l="1"/>
  <c r="J107" i="1"/>
  <c r="J50" i="1"/>
  <c r="J53" i="1"/>
  <c r="J95" i="1"/>
  <c r="J97" i="1" s="1"/>
  <c r="J116" i="1"/>
  <c r="J174" i="1" s="1"/>
  <c r="J141" i="1" l="1"/>
  <c r="J134" i="1"/>
  <c r="J137" i="1" s="1"/>
  <c r="J64" i="1" l="1"/>
  <c r="J138" i="1" s="1"/>
  <c r="K136" i="1"/>
  <c r="J143" i="1"/>
  <c r="J142" i="1"/>
  <c r="J69" i="1" l="1"/>
  <c r="J75" i="1" s="1"/>
  <c r="J99" i="1" s="1"/>
  <c r="K166" i="1"/>
  <c r="K41" i="1" s="1"/>
  <c r="K44" i="1" s="1"/>
  <c r="K46" i="1" l="1"/>
  <c r="K83" i="1" s="1"/>
  <c r="K113" i="1" l="1"/>
  <c r="K115" i="1" s="1"/>
  <c r="K84" i="1"/>
  <c r="K88" i="1" s="1"/>
  <c r="K49" i="1"/>
  <c r="K53" i="1" l="1"/>
  <c r="K54" i="1"/>
  <c r="K50" i="1"/>
  <c r="K107" i="1"/>
  <c r="K116" i="1" s="1"/>
  <c r="K174" i="1" s="1"/>
  <c r="K94" i="1"/>
  <c r="K95" i="1" l="1"/>
  <c r="K97" i="1" s="1"/>
  <c r="K134" i="1"/>
  <c r="K137" i="1" s="1"/>
  <c r="K141" i="1"/>
  <c r="K142" i="1" l="1"/>
  <c r="K143" i="1"/>
  <c r="L136" i="1"/>
  <c r="K64" i="1"/>
  <c r="K138" i="1"/>
  <c r="K69" i="1" l="1"/>
  <c r="K75" i="1" s="1"/>
  <c r="K99" i="1" s="1"/>
  <c r="L166" i="1"/>
  <c r="L41" i="1" s="1"/>
  <c r="L44" i="1" s="1"/>
  <c r="L46" i="1" l="1"/>
  <c r="L83" i="1" s="1"/>
  <c r="L49" i="1" l="1"/>
  <c r="L54" i="1"/>
  <c r="L53" i="1"/>
  <c r="L50" i="1"/>
  <c r="L107" i="1"/>
  <c r="L94" i="1"/>
  <c r="L95" i="1" s="1"/>
  <c r="L113" i="1"/>
  <c r="L115" i="1" s="1"/>
  <c r="L84" i="1"/>
  <c r="L88" i="1" s="1"/>
  <c r="L97" i="1" s="1"/>
  <c r="L116" i="1" l="1"/>
  <c r="L174" i="1" s="1"/>
  <c r="L141" i="1" l="1"/>
  <c r="L134" i="1"/>
  <c r="L137" i="1" s="1"/>
  <c r="L64" i="1" l="1"/>
  <c r="L69" i="1" s="1"/>
  <c r="L75" i="1" s="1"/>
  <c r="L99" i="1" s="1"/>
  <c r="L143" i="1"/>
  <c r="L142" i="1"/>
  <c r="L138" i="1" l="1"/>
</calcChain>
</file>

<file path=xl/sharedStrings.xml><?xml version="1.0" encoding="utf-8"?>
<sst xmlns="http://schemas.openxmlformats.org/spreadsheetml/2006/main" count="395" uniqueCount="257">
  <si>
    <t>FY2022</t>
  </si>
  <si>
    <t>FY2023</t>
  </si>
  <si>
    <t>FY2024</t>
  </si>
  <si>
    <t>FY2025</t>
  </si>
  <si>
    <t>FY2026</t>
  </si>
  <si>
    <t>Revenues</t>
  </si>
  <si>
    <t>Gross profit</t>
  </si>
  <si>
    <t>Demand creation expense</t>
  </si>
  <si>
    <t>Operating overhead expense</t>
  </si>
  <si>
    <t>Total selling and administrative expense</t>
  </si>
  <si>
    <t>Interest expense (income), net</t>
  </si>
  <si>
    <t>Other (income) expense, net</t>
  </si>
  <si>
    <t>Income before income taxes</t>
  </si>
  <si>
    <t>Income tax expense</t>
  </si>
  <si>
    <t>Earnings per share and shares</t>
  </si>
  <si>
    <t>Basic EPS ($)</t>
  </si>
  <si>
    <t>Diluted EPS ($)</t>
  </si>
  <si>
    <t>Dividends declared per share ($)</t>
  </si>
  <si>
    <t>Assets</t>
  </si>
  <si>
    <t>Cash and equivalents</t>
  </si>
  <si>
    <t>Short-term investments</t>
  </si>
  <si>
    <t>Accounts receivable, net</t>
  </si>
  <si>
    <t>Inventories</t>
  </si>
  <si>
    <t>Prepaid expenses and other current assets</t>
  </si>
  <si>
    <t>Total current assets</t>
  </si>
  <si>
    <t>Property, plant and equipment, net</t>
  </si>
  <si>
    <t>Operating lease right-of-use assets, net</t>
  </si>
  <si>
    <t>Identifiable intangible assets, net</t>
  </si>
  <si>
    <t>Goodwill</t>
  </si>
  <si>
    <t>Deferred income taxes and other assets</t>
  </si>
  <si>
    <t>TOTAL ASSETS</t>
  </si>
  <si>
    <t>Liabilities</t>
  </si>
  <si>
    <t>Current portion of long-term debt</t>
  </si>
  <si>
    <t>Notes payable</t>
  </si>
  <si>
    <t>Accounts payable</t>
  </si>
  <si>
    <t>Current portion of operating lease liabilities</t>
  </si>
  <si>
    <t>Accrued liabilities</t>
  </si>
  <si>
    <t>Income taxes payable</t>
  </si>
  <si>
    <t>Total current liabilities</t>
  </si>
  <si>
    <t>Long-term debt</t>
  </si>
  <si>
    <t>Operating lease liabilities</t>
  </si>
  <si>
    <t>Deferred income taxes and other liabilities</t>
  </si>
  <si>
    <t>Total liabilities</t>
  </si>
  <si>
    <t>Shareholders' equity</t>
  </si>
  <si>
    <t>Capital in excess of stated value</t>
  </si>
  <si>
    <t>Total shareholders' equity</t>
  </si>
  <si>
    <t>TOTAL LIABILITIES AND SHAREHOLDERS' EQUITY</t>
  </si>
  <si>
    <t>Net income</t>
  </si>
  <si>
    <t>Free cash flow (operations – capex)</t>
  </si>
  <si>
    <t>FY2027</t>
  </si>
  <si>
    <t>FY2028</t>
  </si>
  <si>
    <t>FY2029</t>
  </si>
  <si>
    <t>FY2030</t>
  </si>
  <si>
    <t>NIKE, Inc. NYSE(NKE)</t>
  </si>
  <si>
    <t xml:space="preserve"> 3-statement Model</t>
  </si>
  <si>
    <t>Actuals</t>
  </si>
  <si>
    <t>FY2031</t>
  </si>
  <si>
    <t>Gross Profit Margin %</t>
  </si>
  <si>
    <t>S&amp;G expense % of Sales</t>
  </si>
  <si>
    <t>Revenue Growth</t>
  </si>
  <si>
    <t>-</t>
  </si>
  <si>
    <t>Net Income</t>
  </si>
  <si>
    <t>Operating Income (EBIT)</t>
  </si>
  <si>
    <t>Effective Tax Rate</t>
  </si>
  <si>
    <t>EBIT Margin (%)</t>
  </si>
  <si>
    <t>Net Income Margin</t>
  </si>
  <si>
    <t xml:space="preserve">Weighted average shares – basic </t>
  </si>
  <si>
    <t xml:space="preserve">Weighted average shares – diluted </t>
  </si>
  <si>
    <t xml:space="preserve">Accumulated other comprehensive income </t>
  </si>
  <si>
    <t xml:space="preserve">Retained earnings </t>
  </si>
  <si>
    <t>Common Stock</t>
  </si>
  <si>
    <t>Operating Activities</t>
  </si>
  <si>
    <t>Investing Activities</t>
  </si>
  <si>
    <t>Operating Cash Flows</t>
  </si>
  <si>
    <t>Financing Activities</t>
  </si>
  <si>
    <t>Check: Total Assets = Total Liabilities + Shareholder's Equity</t>
  </si>
  <si>
    <t>Check: ending cash – balance sheet cash = 0</t>
  </si>
  <si>
    <t>Free Cash Flow</t>
  </si>
  <si>
    <t>FCF Margin</t>
  </si>
  <si>
    <t>FCF conversion</t>
  </si>
  <si>
    <t>Forecast</t>
  </si>
  <si>
    <t>Parameter</t>
  </si>
  <si>
    <t>Active</t>
  </si>
  <si>
    <t>Unit</t>
  </si>
  <si>
    <t>Notes</t>
  </si>
  <si>
    <t>Bear</t>
  </si>
  <si>
    <t>Base</t>
  </si>
  <si>
    <t>Bull</t>
  </si>
  <si>
    <t>Revenue Growth &amp; Mix</t>
  </si>
  <si>
    <t>$ in millions</t>
  </si>
  <si>
    <t>Active Scenario: 1=Bear, 2- Base, 3- Bull</t>
  </si>
  <si>
    <t>Revenue</t>
  </si>
  <si>
    <t>North America</t>
  </si>
  <si>
    <t>Europe, Middle East &amp; Africa</t>
  </si>
  <si>
    <t>Greater China</t>
  </si>
  <si>
    <t>Asia Pacific &amp; Latin America</t>
  </si>
  <si>
    <t>Global Brand Divisions</t>
  </si>
  <si>
    <t>NIKE Brand revenue</t>
  </si>
  <si>
    <t>Converse</t>
  </si>
  <si>
    <t>Corporate</t>
  </si>
  <si>
    <t>TOTAL NIKE, INC. REVENUE</t>
  </si>
  <si>
    <t>Revenue growth</t>
  </si>
  <si>
    <t>YoY growth by segment</t>
  </si>
  <si>
    <t>EMEA</t>
  </si>
  <si>
    <t>APLA</t>
  </si>
  <si>
    <t>Footwear</t>
  </si>
  <si>
    <t>Apparel</t>
  </si>
  <si>
    <t>Equipment</t>
  </si>
  <si>
    <t>NIKE Brand revenue (product view)</t>
  </si>
  <si>
    <t>Check: 3_statement_model revenue (must be 0)</t>
  </si>
  <si>
    <t>% of Total Revenue</t>
  </si>
  <si>
    <t>NIKE Brand revenue by product (10-K revenue note)</t>
  </si>
  <si>
    <t>Check:</t>
  </si>
  <si>
    <t>North America growth – FY2027</t>
  </si>
  <si>
    <t>Europe, Middle East &amp; Africa growth – FY2027</t>
  </si>
  <si>
    <t>Greater China growth – FY2027</t>
  </si>
  <si>
    <t>Asia Pacific &amp; Latin America growth – FY2027</t>
  </si>
  <si>
    <t>Converse growth – FY2027</t>
  </si>
  <si>
    <t>%/yr</t>
  </si>
  <si>
    <t>North America growth – FY2028</t>
  </si>
  <si>
    <t>Europe, Middle East &amp; Africa growth – FY2028</t>
  </si>
  <si>
    <t>Greater China growth – FY2028</t>
  </si>
  <si>
    <t>Asia Pacific &amp; Latin America growth – FY2028</t>
  </si>
  <si>
    <t>Converse growth – FY2028</t>
  </si>
  <si>
    <t>North America growth – FY2029-31</t>
  </si>
  <si>
    <t>Europe, Middle East &amp; Africa growth – FY2029-31</t>
  </si>
  <si>
    <t>Greater China growth – FY2029-31</t>
  </si>
  <si>
    <t>Asia Pacific &amp; Latin America growth – FY2029-31</t>
  </si>
  <si>
    <t>Converse growth – FY2029-31</t>
  </si>
  <si>
    <t>Global Brand Divisions + Corporate revenue</t>
  </si>
  <si>
    <t xml:space="preserve"> Total revenue growth- FY2027</t>
  </si>
  <si>
    <t>Margins &amp; Operating Expenses</t>
  </si>
  <si>
    <t>Gross Margin</t>
  </si>
  <si>
    <t>Demand creation expense % of revenue</t>
  </si>
  <si>
    <t>FY25-26 average</t>
  </si>
  <si>
    <t>Operating overhead expense % of revenue</t>
  </si>
  <si>
    <t>$mm</t>
  </si>
  <si>
    <t>Depreciation, Capex &amp; Stock Compensation</t>
  </si>
  <si>
    <t>D&amp;A % of revenue</t>
  </si>
  <si>
    <t>5-yr average</t>
  </si>
  <si>
    <t>Capex % of revenue</t>
  </si>
  <si>
    <t>Stock-based compensation % of revenue</t>
  </si>
  <si>
    <t>Working Capital</t>
  </si>
  <si>
    <t>Receivable days (DSO = AR / revenue x 365)</t>
  </si>
  <si>
    <t>days</t>
  </si>
  <si>
    <t>Inventory days (DIO = inventory / COGS x 365)</t>
  </si>
  <si>
    <t>Payable days (DPO = AP / COGS x 365)</t>
  </si>
  <si>
    <t>Prepaid &amp; other current assets % of revenue</t>
  </si>
  <si>
    <t>Accrued liabilities % of revenue</t>
  </si>
  <si>
    <t>Income taxes payable % of tax expense</t>
  </si>
  <si>
    <t>% of tax</t>
  </si>
  <si>
    <t>5-yr median</t>
  </si>
  <si>
    <t>Tax</t>
  </si>
  <si>
    <t>Effective tax rate</t>
  </si>
  <si>
    <t>%</t>
  </si>
  <si>
    <t>Debt &amp; Interest</t>
  </si>
  <si>
    <t>Cash interest paid – FY2026</t>
  </si>
  <si>
    <t>FY26 10-K</t>
  </si>
  <si>
    <t>Cost of debt (on opening debt)</t>
  </si>
  <si>
    <t>Interest income rate on cash &amp; ST investments</t>
  </si>
  <si>
    <t>3M T-bill 4.28%</t>
  </si>
  <si>
    <t>Dividends, Buybacks &amp; Shares</t>
  </si>
  <si>
    <t>Dividend per share growth</t>
  </si>
  <si>
    <t>Share repurchases</t>
  </si>
  <si>
    <t>$mm/yr</t>
  </si>
  <si>
    <t>Average repurchase price</t>
  </si>
  <si>
    <t>$/share</t>
  </si>
  <si>
    <t>Shares outstanding at 31-May-2026</t>
  </si>
  <si>
    <t>mm</t>
  </si>
  <si>
    <t>Shares issued under employee plans</t>
  </si>
  <si>
    <t>mm/yr</t>
  </si>
  <si>
    <t>Dilutive securities (diluted – basic shares)</t>
  </si>
  <si>
    <t>FY26 actual</t>
  </si>
  <si>
    <t>Proceeds from option exercises &amp; stock issuance</t>
  </si>
  <si>
    <t>TTM Aug-26 = $227mm</t>
  </si>
  <si>
    <t>Held flat at FY2026 (non-operating / not forecastable)</t>
  </si>
  <si>
    <t>FY25-26 avg</t>
  </si>
  <si>
    <t>Bear FY22-23 average, Bull FY24</t>
  </si>
  <si>
    <t>Bear freeze, Bull FY26 actual</t>
  </si>
  <si>
    <t>Assumptions</t>
  </si>
  <si>
    <t>Tax Rate (%of earning before tax)</t>
  </si>
  <si>
    <t>Accounts Receivable</t>
  </si>
  <si>
    <t>Accounts Receivable (Days)</t>
  </si>
  <si>
    <t>Inventory (Days)</t>
  </si>
  <si>
    <t>Accounts Payables (Days)</t>
  </si>
  <si>
    <t>Debt Issuance(Repayment)</t>
  </si>
  <si>
    <t>Equity Issued (Repaid)</t>
  </si>
  <si>
    <t>Days in Period</t>
  </si>
  <si>
    <t>Revenue Growth Rate (% Change)</t>
  </si>
  <si>
    <t>Cost of Goods Sold (% of Revenue)</t>
  </si>
  <si>
    <t>Operating overhead expense (% of Revenue)</t>
  </si>
  <si>
    <t>% of revenue</t>
  </si>
  <si>
    <t>Expenses</t>
  </si>
  <si>
    <t>COGS</t>
  </si>
  <si>
    <t>Supporting &amp; Schedules</t>
  </si>
  <si>
    <t>Working Capital Schedule</t>
  </si>
  <si>
    <t>Inventory</t>
  </si>
  <si>
    <t>Accounts Payables</t>
  </si>
  <si>
    <t>Net Working Capital (NWC)</t>
  </si>
  <si>
    <t>Change in NWC</t>
  </si>
  <si>
    <t>PPE Opening</t>
  </si>
  <si>
    <t>Plus Capex</t>
  </si>
  <si>
    <t>PPE Closing</t>
  </si>
  <si>
    <t>Debt &amp; Interest Schedule</t>
  </si>
  <si>
    <t>Debt Opening</t>
  </si>
  <si>
    <t>Issuance (repayment)</t>
  </si>
  <si>
    <t>Debt Closing</t>
  </si>
  <si>
    <t>Interest Expense</t>
  </si>
  <si>
    <t>Capital Expenditure (% of revenue)</t>
  </si>
  <si>
    <t>Depreciation &amp; Amortization (% of Revenue)</t>
  </si>
  <si>
    <t>Total Depreciation &amp; Amortization</t>
  </si>
  <si>
    <t>Other Non-Cash Items</t>
  </si>
  <si>
    <t>Total Non Cash Item</t>
  </si>
  <si>
    <t>Change in Accounts Receivable</t>
  </si>
  <si>
    <t>Change in Inventories</t>
  </si>
  <si>
    <t>Change in Accounts Payable &amp; Other Liabilities</t>
  </si>
  <si>
    <t>Change in Other Assets</t>
  </si>
  <si>
    <t>Total Change in Assets/Liabilities</t>
  </si>
  <si>
    <t>Net Change in PP&amp;E (Capex)</t>
  </si>
  <si>
    <t>Net Change in Short-term Investments</t>
  </si>
  <si>
    <t>Investing Activities – Other</t>
  </si>
  <si>
    <t>Cash Flow from Investing Activities</t>
  </si>
  <si>
    <t>Debt Issuance/(Retirement) – Net</t>
  </si>
  <si>
    <t>Net Common Equity Issued/(Repurchased)</t>
  </si>
  <si>
    <t>Dividends Paid</t>
  </si>
  <si>
    <t>Financing Activities – Other</t>
  </si>
  <si>
    <t>Cash Flow from Financing Activities</t>
  </si>
  <si>
    <t>Effect of Exchange Rate Changes</t>
  </si>
  <si>
    <t>Net Cash Flow</t>
  </si>
  <si>
    <t>Cash – Beginning of Year</t>
  </si>
  <si>
    <t>Cash – End of Year</t>
  </si>
  <si>
    <t>5-yr average (FY22–26)</t>
  </si>
  <si>
    <t>Depreciation Schedule</t>
  </si>
  <si>
    <t>Less D&amp;A</t>
  </si>
  <si>
    <t>Shares outstanding – year end (mm)</t>
  </si>
  <si>
    <t>Net interest (% of debt)</t>
  </si>
  <si>
    <t>INCOME STATEMENT (consolidated)</t>
  </si>
  <si>
    <t>CASH FLOWS (consolidated)</t>
  </si>
  <si>
    <t>Other PPE adjustments</t>
  </si>
  <si>
    <t>Charts &amp; Graph</t>
  </si>
  <si>
    <t>Gross Profit Margin(%)</t>
  </si>
  <si>
    <t>Operating Cash Flow</t>
  </si>
  <si>
    <t>Investing Cash Flow</t>
  </si>
  <si>
    <t>Financing Cash Flow</t>
  </si>
  <si>
    <t>%/year</t>
  </si>
  <si>
    <t>Source: Nike Form 10-K, Business Today, NIKE FY2027 Q1 results</t>
  </si>
  <si>
    <t>Short-term investments, lease ROU assets &amp; lease liabilities, intangibles, goodwill, deferred taxes &amp; other assets/liabilities.</t>
  </si>
  <si>
    <t xml:space="preserve"> Revenue_Build</t>
  </si>
  <si>
    <t>Interest paid / Avg FY25–26 debt</t>
  </si>
  <si>
    <t>NKE close price on 14-Oct-26</t>
  </si>
  <si>
    <t>Basis of Prepration: Historical Figures(FY2022-FY2026), Estimates are guided by Q1 results of FY27, Press releases and Management Guidance</t>
  </si>
  <si>
    <t>Bear/Bull: +/-3% revenue growth (FY27),+/- 2% (FY28–31), +/-0.5% margins</t>
  </si>
  <si>
    <t>Base FY26, Bear-Management Guidance, Bull 5-yr Avg</t>
  </si>
  <si>
    <t>Source: Nike Form 10-K, NIKE FY2027 Q1 results, Business Today</t>
  </si>
  <si>
    <t>BALANCE SHEETS (as of May 31) (consolidated)</t>
  </si>
  <si>
    <t>Buyback dipped for FY26</t>
  </si>
  <si>
    <t>FY25 &amp; FY26 net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</si>
</sst>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4" formatCode="#,##0_);\(#,##0\);\–_)"/>
    <numFmt numFmtId="165" formatCode="m/d/yyyy&quot;A&quot;"/>
    <numFmt numFmtId="166" formatCode="#,##0.0_);\(#,##0.000\);\–_)"/>
    <numFmt numFmtId="167" formatCode="#,##0.00_);\(#,##0.0000\);\–_)"/>
    <numFmt numFmtId="168" formatCode="#,##0;\(#,##0\);0"/>
    <numFmt numFmtId="169" formatCode="0.0%;\-0.0%;0.0%"/>
    <numFmt numFmtId="170" formatCode="0.0"/>
    <numFmt numFmtId="171" formatCode="0.00%;\-0.00%;0.00%"/>
    <numFmt numFmtId="172" formatCode="0.0%"/>
    <numFmt numFmtId="173" formatCode="\$0.00"/>
    <numFmt numFmtId="174" formatCode="#,##0.0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theme="0" tint="-0.49998474074526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10"/>
      <name val="Arial"/>
      <family val="2"/>
    </font>
    <font>
      <sz val="10"/>
      <color rgb="FF1F4E9A"/>
      <name val="Arial"/>
      <family val="2"/>
    </font>
    <font>
      <sz val="11"/>
      <color rgb="FF1F4E9A"/>
      <name val="Calibri"/>
      <family val="2"/>
      <scheme val="minor"/>
    </font>
    <font>
      <b/>
      <sz val="10"/>
      <name val="Arial"/>
      <family val="2"/>
    </font>
    <font>
      <b/>
      <sz val="10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rgb="FF1F4E9A"/>
      <name val="Arial"/>
      <family val="2"/>
      <charset val="1"/>
    </font>
    <font>
      <sz val="11"/>
      <name val="Calibri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i/>
      <sz val="11"/>
      <color theme="0" tint="-0.499984740745262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</font>
    <font>
      <sz val="11"/>
      <color theme="8" tint="-0.249977111117893"/>
      <name val="Calibri"/>
      <family val="2"/>
    </font>
    <font>
      <sz val="11"/>
      <color theme="8" tint="-0.249977111117893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i/>
      <sz val="11"/>
      <color theme="1"/>
      <name val="Calibri"/>
      <family val="2"/>
      <charset val="1"/>
    </font>
    <font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3366"/>
      </patternFill>
    </fill>
    <fill>
      <patternFill patternType="solid">
        <fgColor rgb="FFF57523"/>
        <bgColor rgb="FF003366"/>
      </patternFill>
    </fill>
    <fill>
      <patternFill patternType="solid">
        <fgColor rgb="FFFCD7C0"/>
        <bgColor indexed="64"/>
      </patternFill>
    </fill>
    <fill>
      <patternFill patternType="solid">
        <fgColor rgb="FFFCD7C0"/>
        <bgColor rgb="FFFFFFFF"/>
      </patternFill>
    </fill>
    <fill>
      <patternFill patternType="solid">
        <fgColor theme="0"/>
        <bgColor rgb="FFEEEEEE"/>
      </patternFill>
    </fill>
    <fill>
      <patternFill patternType="solid">
        <fgColor rgb="FFFCD7C0"/>
        <bgColor rgb="FFEEEEE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57523"/>
        <bgColor indexed="64"/>
      </patternFill>
    </fill>
    <fill>
      <patternFill patternType="solid">
        <fgColor rgb="FFFEEFE6"/>
        <bgColor indexed="64"/>
      </patternFill>
    </fill>
    <fill>
      <patternFill patternType="solid">
        <fgColor rgb="FFFCD7C0"/>
        <bgColor rgb="FFFEEFE6"/>
      </patternFill>
    </fill>
  </fills>
  <borders count="2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rgb="FF808080"/>
      </top>
      <bottom/>
      <diagonal/>
    </border>
    <border>
      <left/>
      <right/>
      <top/>
      <bottom style="double">
        <color auto="1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double">
        <color auto="1"/>
      </bottom>
      <diagonal/>
    </border>
    <border>
      <left/>
      <right/>
      <top style="thin">
        <color auto="1"/>
      </top>
      <bottom style="dashed">
        <color theme="0" tint="-0.34998626667073579"/>
      </bottom>
      <diagonal/>
    </border>
    <border>
      <left/>
      <right/>
      <top style="dashed">
        <color theme="0" tint="-0.34998626667073579"/>
      </top>
      <bottom style="dashed">
        <color theme="0" tint="-0.34998626667073579"/>
      </bottom>
      <diagonal/>
    </border>
    <border>
      <left/>
      <right/>
      <top style="dashed">
        <color theme="0" tint="-0.34998626667073579"/>
      </top>
      <bottom style="thin">
        <color auto="1"/>
      </bottom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0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0" fillId="0" borderId="0" xfId="0" applyBorder="1"/>
    <xf numFmtId="0" fontId="0" fillId="0" borderId="2" xfId="0" applyBorder="1"/>
    <xf numFmtId="0" fontId="3" fillId="0" borderId="0" xfId="0" applyFont="1" applyBorder="1" applyAlignment="1">
      <alignment horizontal="left"/>
    </xf>
    <xf numFmtId="164" fontId="10" fillId="0" borderId="0" xfId="0" applyNumberFormat="1" applyFont="1" applyBorder="1" applyAlignment="1">
      <alignment horizontal="right"/>
    </xf>
    <xf numFmtId="0" fontId="0" fillId="0" borderId="2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0" fillId="0" borderId="0" xfId="0" applyFont="1" applyAlignment="1">
      <alignment horizontal="right"/>
    </xf>
    <xf numFmtId="164" fontId="6" fillId="0" borderId="2" xfId="0" applyNumberFormat="1" applyFont="1" applyBorder="1" applyAlignment="1">
      <alignment horizontal="right"/>
    </xf>
    <xf numFmtId="164" fontId="9" fillId="0" borderId="1" xfId="0" applyNumberFormat="1" applyFont="1" applyBorder="1" applyAlignment="1">
      <alignment horizontal="right"/>
    </xf>
    <xf numFmtId="10" fontId="8" fillId="0" borderId="0" xfId="1" applyNumberFormat="1" applyFont="1" applyBorder="1" applyAlignment="1">
      <alignment horizontal="right"/>
    </xf>
    <xf numFmtId="164" fontId="6" fillId="0" borderId="0" xfId="0" applyNumberFormat="1" applyFont="1" applyBorder="1" applyAlignment="1">
      <alignment horizontal="right"/>
    </xf>
    <xf numFmtId="164" fontId="9" fillId="0" borderId="0" xfId="0" applyNumberFormat="1" applyFont="1" applyBorder="1" applyAlignment="1">
      <alignment horizontal="right"/>
    </xf>
    <xf numFmtId="0" fontId="6" fillId="0" borderId="0" xfId="0" applyFont="1" applyAlignment="1">
      <alignment horizontal="right"/>
    </xf>
    <xf numFmtId="164" fontId="12" fillId="0" borderId="0" xfId="0" applyNumberFormat="1" applyFont="1" applyBorder="1" applyAlignment="1">
      <alignment horizontal="right"/>
    </xf>
    <xf numFmtId="164" fontId="5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0" fillId="2" borderId="0" xfId="0" applyFill="1"/>
    <xf numFmtId="0" fontId="3" fillId="0" borderId="6" xfId="0" applyFont="1" applyBorder="1" applyAlignment="1">
      <alignment horizontal="left"/>
    </xf>
    <xf numFmtId="164" fontId="9" fillId="0" borderId="6" xfId="0" applyNumberFormat="1" applyFont="1" applyBorder="1" applyAlignment="1">
      <alignment horizontal="right"/>
    </xf>
    <xf numFmtId="0" fontId="2" fillId="3" borderId="0" xfId="0" applyFont="1" applyFill="1" applyAlignment="1">
      <alignment horizontal="left"/>
    </xf>
    <xf numFmtId="0" fontId="4" fillId="3" borderId="0" xfId="0" applyFont="1" applyFill="1" applyAlignment="1">
      <alignment horizontal="right"/>
    </xf>
    <xf numFmtId="0" fontId="3" fillId="6" borderId="0" xfId="0" applyFont="1" applyFill="1" applyAlignment="1">
      <alignment horizontal="left"/>
    </xf>
    <xf numFmtId="0" fontId="0" fillId="6" borderId="0" xfId="0" applyFont="1" applyFill="1" applyAlignment="1">
      <alignment horizontal="right"/>
    </xf>
    <xf numFmtId="0" fontId="0" fillId="5" borderId="0" xfId="0" applyFill="1"/>
    <xf numFmtId="0" fontId="13" fillId="4" borderId="0" xfId="0" applyFont="1" applyFill="1" applyAlignment="1">
      <alignment vertical="center"/>
    </xf>
    <xf numFmtId="0" fontId="13" fillId="4" borderId="0" xfId="0" applyFont="1" applyFill="1" applyAlignment="1">
      <alignment horizontal="right" vertical="center"/>
    </xf>
    <xf numFmtId="0" fontId="14" fillId="4" borderId="0" xfId="0" applyFont="1" applyFill="1" applyAlignment="1">
      <alignment vertical="center"/>
    </xf>
    <xf numFmtId="0" fontId="3" fillId="4" borderId="0" xfId="0" applyFont="1" applyFill="1" applyAlignment="1">
      <alignment horizontal="right" vertical="center"/>
    </xf>
    <xf numFmtId="0" fontId="15" fillId="4" borderId="0" xfId="0" applyFont="1" applyFill="1" applyAlignment="1">
      <alignment vertical="center"/>
    </xf>
    <xf numFmtId="0" fontId="3" fillId="4" borderId="0" xfId="0" applyFont="1" applyFill="1" applyAlignment="1">
      <alignment horizontal="left"/>
    </xf>
    <xf numFmtId="165" fontId="3" fillId="4" borderId="0" xfId="0" applyNumberFormat="1" applyFont="1" applyFill="1" applyAlignment="1">
      <alignment horizontal="right"/>
    </xf>
    <xf numFmtId="0" fontId="3" fillId="4" borderId="0" xfId="0" applyFont="1" applyFill="1" applyAlignment="1">
      <alignment horizontal="right"/>
    </xf>
    <xf numFmtId="0" fontId="15" fillId="4" borderId="0" xfId="0" applyFont="1" applyFill="1" applyAlignment="1">
      <alignment horizontal="right" vertical="center"/>
    </xf>
    <xf numFmtId="0" fontId="15" fillId="3" borderId="0" xfId="0" applyFont="1" applyFill="1" applyAlignment="1">
      <alignment horizontal="right" vertical="center"/>
    </xf>
    <xf numFmtId="165" fontId="3" fillId="3" borderId="0" xfId="0" applyNumberFormat="1" applyFont="1" applyFill="1" applyAlignment="1">
      <alignment horizontal="right"/>
    </xf>
    <xf numFmtId="0" fontId="3" fillId="5" borderId="0" xfId="0" applyFont="1" applyFill="1"/>
    <xf numFmtId="0" fontId="17" fillId="5" borderId="3" xfId="0" applyFont="1" applyFill="1" applyBorder="1" applyAlignment="1"/>
    <xf numFmtId="0" fontId="18" fillId="0" borderId="0" xfId="0" applyFont="1"/>
    <xf numFmtId="0" fontId="0" fillId="5" borderId="0" xfId="0" applyFill="1" applyAlignment="1">
      <alignment horizontal="right"/>
    </xf>
    <xf numFmtId="0" fontId="0" fillId="0" borderId="0" xfId="0" applyFont="1" applyAlignment="1"/>
    <xf numFmtId="0" fontId="3" fillId="0" borderId="0" xfId="0" applyFont="1" applyAlignment="1"/>
    <xf numFmtId="168" fontId="0" fillId="0" borderId="0" xfId="0" applyNumberFormat="1"/>
    <xf numFmtId="168" fontId="21" fillId="7" borderId="0" xfId="0" applyNumberFormat="1" applyFont="1" applyFill="1"/>
    <xf numFmtId="168" fontId="9" fillId="0" borderId="7" xfId="0" applyNumberFormat="1" applyFont="1" applyBorder="1"/>
    <xf numFmtId="168" fontId="12" fillId="0" borderId="0" xfId="0" applyNumberFormat="1" applyFont="1"/>
    <xf numFmtId="10" fontId="0" fillId="0" borderId="0" xfId="1" applyNumberFormat="1" applyFont="1"/>
    <xf numFmtId="0" fontId="3" fillId="0" borderId="0" xfId="0" applyFont="1" applyBorder="1" applyAlignment="1"/>
    <xf numFmtId="0" fontId="0" fillId="0" borderId="0" xfId="0" applyFont="1" applyBorder="1" applyAlignment="1"/>
    <xf numFmtId="168" fontId="21" fillId="7" borderId="0" xfId="0" applyNumberFormat="1" applyFont="1" applyFill="1" applyBorder="1"/>
    <xf numFmtId="0" fontId="0" fillId="0" borderId="2" xfId="0" applyFont="1" applyBorder="1" applyAlignment="1"/>
    <xf numFmtId="168" fontId="21" fillId="7" borderId="2" xfId="0" applyNumberFormat="1" applyFont="1" applyFill="1" applyBorder="1"/>
    <xf numFmtId="168" fontId="9" fillId="0" borderId="0" xfId="0" applyNumberFormat="1" applyFont="1" applyBorder="1"/>
    <xf numFmtId="0" fontId="3" fillId="0" borderId="1" xfId="0" applyFont="1" applyBorder="1" applyAlignment="1"/>
    <xf numFmtId="168" fontId="3" fillId="0" borderId="1" xfId="0" applyNumberFormat="1" applyFont="1" applyBorder="1"/>
    <xf numFmtId="0" fontId="3" fillId="0" borderId="2" xfId="0" applyFont="1" applyBorder="1" applyAlignment="1"/>
    <xf numFmtId="0" fontId="0" fillId="0" borderId="2" xfId="0" applyFont="1" applyBorder="1" applyAlignment="1">
      <alignment horizontal="right"/>
    </xf>
    <xf numFmtId="169" fontId="12" fillId="0" borderId="2" xfId="0" applyNumberFormat="1" applyFont="1" applyBorder="1"/>
    <xf numFmtId="0" fontId="0" fillId="0" borderId="8" xfId="0" applyFont="1" applyBorder="1" applyAlignment="1"/>
    <xf numFmtId="168" fontId="21" fillId="7" borderId="8" xfId="0" applyNumberFormat="1" applyFont="1" applyFill="1" applyBorder="1"/>
    <xf numFmtId="0" fontId="0" fillId="0" borderId="8" xfId="0" applyBorder="1"/>
    <xf numFmtId="0" fontId="3" fillId="8" borderId="0" xfId="0" applyFont="1" applyFill="1" applyAlignment="1"/>
    <xf numFmtId="0" fontId="11" fillId="0" borderId="0" xfId="0" applyFont="1" applyBorder="1" applyAlignment="1">
      <alignment vertical="top"/>
    </xf>
    <xf numFmtId="10" fontId="0" fillId="0" borderId="0" xfId="1" applyNumberFormat="1" applyFont="1" applyBorder="1"/>
    <xf numFmtId="0" fontId="0" fillId="0" borderId="0" xfId="0" applyBorder="1" applyAlignment="1">
      <alignment horizontal="right"/>
    </xf>
    <xf numFmtId="0" fontId="0" fillId="2" borderId="0" xfId="0" applyFill="1" applyBorder="1"/>
    <xf numFmtId="169" fontId="20" fillId="7" borderId="0" xfId="0" applyNumberFormat="1" applyFont="1" applyFill="1" applyBorder="1" applyAlignment="1">
      <alignment horizontal="right" vertical="top"/>
    </xf>
    <xf numFmtId="0" fontId="19" fillId="0" borderId="0" xfId="0" applyFont="1" applyBorder="1" applyAlignment="1">
      <alignment vertical="top"/>
    </xf>
    <xf numFmtId="0" fontId="0" fillId="0" borderId="0" xfId="0" applyBorder="1" applyAlignment="1">
      <alignment horizontal="center"/>
    </xf>
    <xf numFmtId="1" fontId="0" fillId="0" borderId="0" xfId="0" applyNumberFormat="1" applyBorder="1"/>
    <xf numFmtId="10" fontId="0" fillId="0" borderId="0" xfId="1" applyNumberFormat="1" applyFont="1" applyBorder="1" applyAlignment="1">
      <alignment horizontal="right"/>
    </xf>
    <xf numFmtId="0" fontId="0" fillId="9" borderId="0" xfId="0" applyFill="1"/>
    <xf numFmtId="0" fontId="3" fillId="5" borderId="0" xfId="0" applyFont="1" applyFill="1" applyAlignment="1">
      <alignment horizontal="right"/>
    </xf>
    <xf numFmtId="0" fontId="11" fillId="0" borderId="2" xfId="0" applyFont="1" applyBorder="1" applyAlignment="1">
      <alignment vertical="top"/>
    </xf>
    <xf numFmtId="10" fontId="0" fillId="0" borderId="2" xfId="1" applyNumberFormat="1" applyFont="1" applyBorder="1"/>
    <xf numFmtId="0" fontId="0" fillId="0" borderId="2" xfId="0" applyBorder="1" applyAlignment="1">
      <alignment horizontal="right"/>
    </xf>
    <xf numFmtId="0" fontId="0" fillId="2" borderId="2" xfId="0" applyFill="1" applyBorder="1"/>
    <xf numFmtId="0" fontId="19" fillId="0" borderId="2" xfId="0" applyFont="1" applyBorder="1" applyAlignment="1">
      <alignment vertical="top"/>
    </xf>
    <xf numFmtId="0" fontId="19" fillId="0" borderId="2" xfId="0" applyFont="1" applyFill="1" applyBorder="1" applyAlignment="1">
      <alignment vertical="top"/>
    </xf>
    <xf numFmtId="0" fontId="0" fillId="10" borderId="0" xfId="0" applyFill="1"/>
    <xf numFmtId="171" fontId="20" fillId="7" borderId="0" xfId="0" applyNumberFormat="1" applyFont="1" applyFill="1" applyBorder="1" applyAlignment="1">
      <alignment horizontal="right" vertical="top"/>
    </xf>
    <xf numFmtId="10" fontId="8" fillId="0" borderId="0" xfId="1" applyNumberFormat="1" applyFont="1" applyFill="1" applyBorder="1" applyAlignment="1">
      <alignment horizontal="right"/>
    </xf>
    <xf numFmtId="171" fontId="0" fillId="0" borderId="0" xfId="0" applyNumberFormat="1"/>
    <xf numFmtId="0" fontId="23" fillId="8" borderId="0" xfId="0" applyFont="1" applyFill="1" applyBorder="1" applyAlignment="1">
      <alignment vertical="top"/>
    </xf>
    <xf numFmtId="0" fontId="0" fillId="8" borderId="0" xfId="0" applyFont="1" applyFill="1" applyBorder="1"/>
    <xf numFmtId="0" fontId="0" fillId="8" borderId="0" xfId="0" applyFont="1" applyFill="1" applyBorder="1" applyAlignment="1">
      <alignment horizontal="right"/>
    </xf>
    <xf numFmtId="0" fontId="0" fillId="0" borderId="0" xfId="0" applyFont="1" applyBorder="1"/>
    <xf numFmtId="0" fontId="0" fillId="0" borderId="0" xfId="0" applyFont="1" applyBorder="1" applyAlignment="1">
      <alignment horizontal="right"/>
    </xf>
    <xf numFmtId="0" fontId="0" fillId="7" borderId="0" xfId="0" applyFont="1" applyFill="1" applyBorder="1"/>
    <xf numFmtId="169" fontId="24" fillId="7" borderId="0" xfId="0" applyNumberFormat="1" applyFont="1" applyFill="1" applyBorder="1" applyAlignment="1">
      <alignment horizontal="right" vertical="top"/>
    </xf>
    <xf numFmtId="169" fontId="25" fillId="7" borderId="0" xfId="0" applyNumberFormat="1" applyFont="1" applyFill="1" applyBorder="1" applyAlignment="1">
      <alignment horizontal="right" vertical="top"/>
    </xf>
    <xf numFmtId="169" fontId="0" fillId="0" borderId="0" xfId="0" applyNumberFormat="1" applyFont="1" applyBorder="1"/>
    <xf numFmtId="0" fontId="26" fillId="0" borderId="0" xfId="0" applyFont="1" applyBorder="1"/>
    <xf numFmtId="169" fontId="27" fillId="0" borderId="0" xfId="0" applyNumberFormat="1" applyFont="1" applyBorder="1"/>
    <xf numFmtId="0" fontId="22" fillId="8" borderId="0" xfId="0" applyFont="1" applyFill="1" applyBorder="1"/>
    <xf numFmtId="170" fontId="27" fillId="0" borderId="0" xfId="0" applyNumberFormat="1" applyFont="1" applyBorder="1"/>
    <xf numFmtId="0" fontId="26" fillId="0" borderId="0" xfId="0" applyFont="1"/>
    <xf numFmtId="169" fontId="20" fillId="7" borderId="0" xfId="0" applyNumberFormat="1" applyFont="1" applyFill="1" applyBorder="1"/>
    <xf numFmtId="169" fontId="27" fillId="2" borderId="0" xfId="0" applyNumberFormat="1" applyFont="1" applyFill="1" applyBorder="1"/>
    <xf numFmtId="164" fontId="20" fillId="7" borderId="0" xfId="0" applyNumberFormat="1" applyFont="1" applyFill="1" applyBorder="1"/>
    <xf numFmtId="0" fontId="0" fillId="2" borderId="0" xfId="0" applyFont="1" applyFill="1" applyBorder="1"/>
    <xf numFmtId="0" fontId="0" fillId="2" borderId="0" xfId="0" applyFont="1" applyFill="1" applyBorder="1" applyAlignment="1">
      <alignment horizontal="right"/>
    </xf>
    <xf numFmtId="169" fontId="26" fillId="0" borderId="0" xfId="0" applyNumberFormat="1" applyFont="1" applyBorder="1"/>
    <xf numFmtId="170" fontId="26" fillId="0" borderId="0" xfId="0" applyNumberFormat="1" applyFont="1" applyBorder="1"/>
    <xf numFmtId="169" fontId="26" fillId="2" borderId="0" xfId="0" applyNumberFormat="1" applyFont="1" applyFill="1" applyBorder="1"/>
    <xf numFmtId="164" fontId="26" fillId="2" borderId="0" xfId="0" applyNumberFormat="1" applyFont="1" applyFill="1" applyBorder="1"/>
    <xf numFmtId="173" fontId="20" fillId="7" borderId="0" xfId="0" applyNumberFormat="1" applyFont="1" applyFill="1" applyBorder="1"/>
    <xf numFmtId="174" fontId="20" fillId="7" borderId="0" xfId="0" applyNumberFormat="1" applyFont="1" applyFill="1" applyBorder="1"/>
    <xf numFmtId="174" fontId="27" fillId="2" borderId="0" xfId="0" applyNumberFormat="1" applyFont="1" applyFill="1" applyBorder="1"/>
    <xf numFmtId="0" fontId="26" fillId="0" borderId="0" xfId="0" applyFont="1" applyBorder="1" applyAlignment="1">
      <alignment horizontal="right"/>
    </xf>
    <xf numFmtId="0" fontId="26" fillId="2" borderId="0" xfId="0" applyFont="1" applyFill="1" applyBorder="1" applyAlignment="1">
      <alignment horizontal="right"/>
    </xf>
    <xf numFmtId="164" fontId="28" fillId="0" borderId="1" xfId="0" applyNumberFormat="1" applyFont="1" applyBorder="1" applyAlignment="1">
      <alignment horizontal="right"/>
    </xf>
    <xf numFmtId="1" fontId="0" fillId="0" borderId="2" xfId="0" applyNumberFormat="1" applyBorder="1" applyAlignment="1">
      <alignment horizontal="right"/>
    </xf>
    <xf numFmtId="1" fontId="0" fillId="0" borderId="0" xfId="0" applyNumberFormat="1" applyBorder="1" applyAlignment="1">
      <alignment horizontal="right"/>
    </xf>
    <xf numFmtId="0" fontId="8" fillId="0" borderId="0" xfId="0" applyFont="1" applyBorder="1" applyAlignment="1">
      <alignment horizontal="right"/>
    </xf>
    <xf numFmtId="0" fontId="17" fillId="2" borderId="0" xfId="0" applyFont="1" applyFill="1" applyBorder="1" applyAlignment="1"/>
    <xf numFmtId="0" fontId="3" fillId="2" borderId="0" xfId="0" applyNumberFormat="1" applyFont="1" applyFill="1" applyBorder="1" applyAlignment="1">
      <alignment horizontal="center"/>
    </xf>
    <xf numFmtId="0" fontId="3" fillId="2" borderId="0" xfId="0" applyNumberFormat="1" applyFont="1" applyFill="1" applyBorder="1" applyAlignment="1">
      <alignment horizontal="right"/>
    </xf>
    <xf numFmtId="10" fontId="0" fillId="0" borderId="0" xfId="0" applyNumberFormat="1" applyFont="1" applyBorder="1" applyAlignment="1">
      <alignment horizontal="right"/>
    </xf>
    <xf numFmtId="0" fontId="0" fillId="0" borderId="1" xfId="0" applyBorder="1" applyAlignment="1">
      <alignment horizontal="left"/>
    </xf>
    <xf numFmtId="164" fontId="0" fillId="0" borderId="0" xfId="0" applyNumberFormat="1" applyAlignment="1">
      <alignment horizontal="right"/>
    </xf>
    <xf numFmtId="164" fontId="0" fillId="0" borderId="1" xfId="0" applyNumberFormat="1" applyBorder="1" applyAlignment="1">
      <alignment horizontal="right"/>
    </xf>
    <xf numFmtId="0" fontId="0" fillId="0" borderId="0" xfId="0" applyBorder="1" applyAlignment="1">
      <alignment horizontal="left"/>
    </xf>
    <xf numFmtId="164" fontId="32" fillId="0" borderId="0" xfId="0" applyNumberFormat="1" applyFont="1"/>
    <xf numFmtId="1" fontId="0" fillId="0" borderId="0" xfId="0" applyNumberFormat="1" applyAlignment="1">
      <alignment horizontal="right"/>
    </xf>
    <xf numFmtId="0" fontId="3" fillId="11" borderId="0" xfId="0" applyFont="1" applyFill="1" applyAlignment="1">
      <alignment horizontal="left"/>
    </xf>
    <xf numFmtId="0" fontId="0" fillId="11" borderId="0" xfId="0" applyFill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4" fontId="0" fillId="0" borderId="0" xfId="0" applyNumberFormat="1" applyBorder="1" applyAlignment="1">
      <alignment horizontal="right"/>
    </xf>
    <xf numFmtId="0" fontId="0" fillId="0" borderId="3" xfId="0" applyFont="1" applyBorder="1" applyAlignment="1">
      <alignment horizontal="left"/>
    </xf>
    <xf numFmtId="0" fontId="0" fillId="0" borderId="3" xfId="0" applyBorder="1" applyAlignment="1">
      <alignment horizontal="right"/>
    </xf>
    <xf numFmtId="0" fontId="0" fillId="0" borderId="9" xfId="0" applyFont="1" applyBorder="1" applyAlignment="1">
      <alignment horizontal="left"/>
    </xf>
    <xf numFmtId="10" fontId="0" fillId="0" borderId="9" xfId="0" applyNumberFormat="1" applyFont="1" applyBorder="1" applyAlignment="1">
      <alignment horizontal="right"/>
    </xf>
    <xf numFmtId="10" fontId="0" fillId="0" borderId="9" xfId="1" applyNumberFormat="1" applyFont="1" applyBorder="1" applyAlignment="1">
      <alignment horizontal="right"/>
    </xf>
    <xf numFmtId="172" fontId="0" fillId="0" borderId="9" xfId="1" applyNumberFormat="1" applyFont="1" applyBorder="1" applyAlignment="1">
      <alignment horizontal="right"/>
    </xf>
    <xf numFmtId="1" fontId="0" fillId="0" borderId="9" xfId="0" applyNumberFormat="1" applyFont="1" applyBorder="1" applyAlignment="1">
      <alignment horizontal="right"/>
    </xf>
    <xf numFmtId="0" fontId="6" fillId="0" borderId="9" xfId="0" applyFont="1" applyBorder="1" applyAlignment="1">
      <alignment horizontal="right"/>
    </xf>
    <xf numFmtId="172" fontId="31" fillId="0" borderId="9" xfId="1" applyNumberFormat="1" applyFont="1" applyBorder="1"/>
    <xf numFmtId="0" fontId="3" fillId="0" borderId="9" xfId="0" applyFont="1" applyBorder="1" applyAlignment="1">
      <alignment horizontal="left"/>
    </xf>
    <xf numFmtId="164" fontId="9" fillId="0" borderId="9" xfId="0" applyNumberFormat="1" applyFont="1" applyBorder="1" applyAlignment="1">
      <alignment horizontal="right"/>
    </xf>
    <xf numFmtId="164" fontId="6" fillId="0" borderId="9" xfId="0" applyNumberFormat="1" applyFont="1" applyBorder="1" applyAlignment="1">
      <alignment horizontal="right"/>
    </xf>
    <xf numFmtId="1" fontId="0" fillId="0" borderId="9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0" fontId="11" fillId="0" borderId="9" xfId="0" applyFont="1" applyBorder="1" applyAlignment="1">
      <alignment horizontal="left"/>
    </xf>
    <xf numFmtId="0" fontId="3" fillId="11" borderId="0" xfId="0" applyFont="1" applyFill="1" applyBorder="1" applyAlignment="1">
      <alignment horizontal="left"/>
    </xf>
    <xf numFmtId="164" fontId="9" fillId="11" borderId="0" xfId="0" applyNumberFormat="1" applyFont="1" applyFill="1" applyBorder="1" applyAlignment="1">
      <alignment horizontal="right"/>
    </xf>
    <xf numFmtId="10" fontId="8" fillId="11" borderId="0" xfId="1" applyNumberFormat="1" applyFont="1" applyFill="1" applyBorder="1" applyAlignment="1">
      <alignment horizontal="right"/>
    </xf>
    <xf numFmtId="0" fontId="0" fillId="11" borderId="0" xfId="0" applyFill="1" applyBorder="1" applyAlignment="1">
      <alignment horizontal="right"/>
    </xf>
    <xf numFmtId="0" fontId="3" fillId="11" borderId="1" xfId="0" applyFont="1" applyFill="1" applyBorder="1" applyAlignment="1">
      <alignment horizontal="left"/>
    </xf>
    <xf numFmtId="164" fontId="9" fillId="11" borderId="1" xfId="0" applyNumberFormat="1" applyFont="1" applyFill="1" applyBorder="1" applyAlignment="1">
      <alignment horizontal="right"/>
    </xf>
    <xf numFmtId="164" fontId="33" fillId="0" borderId="9" xfId="0" applyNumberFormat="1" applyFont="1" applyBorder="1" applyAlignment="1">
      <alignment horizontal="right"/>
    </xf>
    <xf numFmtId="0" fontId="30" fillId="0" borderId="1" xfId="0" applyFont="1" applyBorder="1" applyAlignment="1">
      <alignment horizontal="left"/>
    </xf>
    <xf numFmtId="164" fontId="3" fillId="0" borderId="9" xfId="0" applyNumberFormat="1" applyFont="1" applyBorder="1" applyAlignment="1">
      <alignment horizontal="right"/>
    </xf>
    <xf numFmtId="164" fontId="0" fillId="0" borderId="9" xfId="0" applyNumberFormat="1" applyFont="1" applyBorder="1" applyAlignment="1">
      <alignment horizontal="right"/>
    </xf>
    <xf numFmtId="0" fontId="30" fillId="0" borderId="0" xfId="0" applyFont="1" applyBorder="1" applyAlignment="1">
      <alignment horizontal="left"/>
    </xf>
    <xf numFmtId="164" fontId="3" fillId="0" borderId="10" xfId="0" applyNumberFormat="1" applyFont="1" applyBorder="1" applyAlignment="1">
      <alignment horizontal="right"/>
    </xf>
    <xf numFmtId="0" fontId="0" fillId="0" borderId="10" xfId="0" applyBorder="1" applyAlignment="1">
      <alignment horizontal="right"/>
    </xf>
    <xf numFmtId="0" fontId="30" fillId="0" borderId="6" xfId="0" applyFont="1" applyBorder="1" applyAlignment="1">
      <alignment horizontal="left"/>
    </xf>
    <xf numFmtId="164" fontId="34" fillId="0" borderId="6" xfId="0" applyNumberFormat="1" applyFont="1" applyBorder="1" applyAlignment="1">
      <alignment horizontal="right"/>
    </xf>
    <xf numFmtId="164" fontId="34" fillId="0" borderId="1" xfId="0" applyNumberFormat="1" applyFont="1" applyBorder="1" applyAlignment="1">
      <alignment horizontal="right"/>
    </xf>
    <xf numFmtId="164" fontId="33" fillId="0" borderId="2" xfId="0" applyNumberFormat="1" applyFont="1" applyBorder="1" applyAlignment="1">
      <alignment horizontal="right"/>
    </xf>
    <xf numFmtId="164" fontId="35" fillId="0" borderId="2" xfId="0" applyNumberFormat="1" applyFont="1" applyBorder="1" applyAlignment="1">
      <alignment horizontal="right"/>
    </xf>
    <xf numFmtId="0" fontId="30" fillId="0" borderId="0" xfId="0" applyFont="1" applyAlignment="1">
      <alignment horizontal="left"/>
    </xf>
    <xf numFmtId="164" fontId="34" fillId="0" borderId="0" xfId="0" applyNumberFormat="1" applyFont="1" applyAlignment="1">
      <alignment horizontal="right"/>
    </xf>
    <xf numFmtId="0" fontId="36" fillId="0" borderId="0" xfId="0" applyFont="1" applyAlignment="1">
      <alignment horizontal="left"/>
    </xf>
    <xf numFmtId="37" fontId="36" fillId="0" borderId="0" xfId="0" applyNumberFormat="1" applyFont="1" applyAlignment="1">
      <alignment horizontal="right"/>
    </xf>
    <xf numFmtId="0" fontId="30" fillId="12" borderId="0" xfId="0" applyFont="1" applyFill="1" applyAlignment="1">
      <alignment horizontal="left"/>
    </xf>
    <xf numFmtId="0" fontId="0" fillId="12" borderId="0" xfId="0" applyFill="1" applyAlignment="1">
      <alignment horizontal="right"/>
    </xf>
    <xf numFmtId="0" fontId="29" fillId="0" borderId="0" xfId="0" applyFont="1" applyAlignment="1">
      <alignment horizontal="left"/>
    </xf>
    <xf numFmtId="10" fontId="29" fillId="0" borderId="0" xfId="0" applyNumberFormat="1" applyFont="1" applyAlignment="1">
      <alignment horizontal="right"/>
    </xf>
    <xf numFmtId="0" fontId="0" fillId="0" borderId="10" xfId="0" applyFont="1" applyBorder="1" applyAlignment="1">
      <alignment horizontal="left"/>
    </xf>
    <xf numFmtId="164" fontId="6" fillId="0" borderId="10" xfId="0" applyNumberFormat="1" applyFont="1" applyBorder="1" applyAlignment="1">
      <alignment horizontal="right"/>
    </xf>
    <xf numFmtId="164" fontId="34" fillId="0" borderId="0" xfId="0" applyNumberFormat="1" applyFont="1" applyBorder="1" applyAlignment="1">
      <alignment horizontal="right"/>
    </xf>
    <xf numFmtId="0" fontId="0" fillId="0" borderId="11" xfId="0" applyFont="1" applyBorder="1" applyAlignment="1">
      <alignment horizontal="left"/>
    </xf>
    <xf numFmtId="164" fontId="33" fillId="0" borderId="11" xfId="0" applyNumberFormat="1" applyFont="1" applyBorder="1" applyAlignment="1">
      <alignment horizontal="right"/>
    </xf>
    <xf numFmtId="0" fontId="0" fillId="0" borderId="11" xfId="0" applyBorder="1" applyAlignment="1">
      <alignment horizontal="right"/>
    </xf>
    <xf numFmtId="164" fontId="33" fillId="0" borderId="3" xfId="0" applyNumberFormat="1" applyFont="1" applyBorder="1" applyAlignment="1">
      <alignment horizontal="right"/>
    </xf>
    <xf numFmtId="172" fontId="0" fillId="0" borderId="0" xfId="1" applyNumberFormat="1" applyFont="1"/>
    <xf numFmtId="164" fontId="0" fillId="0" borderId="0" xfId="0" applyNumberFormat="1"/>
    <xf numFmtId="1" fontId="0" fillId="0" borderId="9" xfId="0" applyNumberFormat="1" applyBorder="1"/>
    <xf numFmtId="1" fontId="3" fillId="0" borderId="9" xfId="0" applyNumberFormat="1" applyFont="1" applyBorder="1"/>
    <xf numFmtId="164" fontId="0" fillId="2" borderId="9" xfId="0" applyNumberFormat="1" applyFill="1" applyBorder="1"/>
    <xf numFmtId="1" fontId="0" fillId="2" borderId="9" xfId="0" applyNumberFormat="1" applyFill="1" applyBorder="1"/>
    <xf numFmtId="164" fontId="3" fillId="0" borderId="11" xfId="0" applyNumberFormat="1" applyFont="1" applyBorder="1" applyAlignment="1">
      <alignment horizontal="right"/>
    </xf>
    <xf numFmtId="164" fontId="3" fillId="2" borderId="11" xfId="0" applyNumberFormat="1" applyFont="1" applyFill="1" applyBorder="1"/>
    <xf numFmtId="164" fontId="3" fillId="2" borderId="6" xfId="0" applyNumberFormat="1" applyFont="1" applyFill="1" applyBorder="1"/>
    <xf numFmtId="164" fontId="3" fillId="0" borderId="0" xfId="0" applyNumberFormat="1" applyFont="1"/>
    <xf numFmtId="164" fontId="0" fillId="0" borderId="2" xfId="0" applyNumberFormat="1" applyBorder="1"/>
    <xf numFmtId="164" fontId="0" fillId="0" borderId="9" xfId="0" applyNumberFormat="1" applyBorder="1"/>
    <xf numFmtId="0" fontId="0" fillId="0" borderId="9" xfId="0" applyBorder="1"/>
    <xf numFmtId="164" fontId="6" fillId="0" borderId="0" xfId="0" applyNumberFormat="1" applyFont="1"/>
    <xf numFmtId="0" fontId="37" fillId="0" borderId="0" xfId="0" applyFont="1" applyBorder="1" applyAlignment="1">
      <alignment horizontal="right"/>
    </xf>
    <xf numFmtId="0" fontId="38" fillId="0" borderId="0" xfId="0" applyFont="1" applyBorder="1" applyAlignment="1">
      <alignment horizontal="right"/>
    </xf>
    <xf numFmtId="0" fontId="38" fillId="8" borderId="0" xfId="0" applyFont="1" applyFill="1" applyBorder="1" applyAlignment="1">
      <alignment horizontal="right"/>
    </xf>
    <xf numFmtId="0" fontId="11" fillId="2" borderId="9" xfId="0" applyFont="1" applyFill="1" applyBorder="1" applyAlignment="1">
      <alignment horizontal="left"/>
    </xf>
    <xf numFmtId="2" fontId="0" fillId="0" borderId="9" xfId="0" applyNumberFormat="1" applyBorder="1"/>
    <xf numFmtId="166" fontId="6" fillId="0" borderId="9" xfId="0" applyNumberFormat="1" applyFont="1" applyBorder="1" applyAlignment="1">
      <alignment horizontal="right"/>
    </xf>
    <xf numFmtId="167" fontId="6" fillId="0" borderId="9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10" fontId="6" fillId="11" borderId="9" xfId="0" applyNumberFormat="1" applyFont="1" applyFill="1" applyBorder="1" applyAlignment="1">
      <alignment horizontal="right"/>
    </xf>
    <xf numFmtId="10" fontId="6" fillId="11" borderId="9" xfId="1" applyNumberFormat="1" applyFont="1" applyFill="1" applyBorder="1" applyAlignment="1">
      <alignment horizontal="right"/>
    </xf>
    <xf numFmtId="1" fontId="6" fillId="11" borderId="9" xfId="0" applyNumberFormat="1" applyFont="1" applyFill="1" applyBorder="1" applyAlignment="1">
      <alignment horizontal="right"/>
    </xf>
    <xf numFmtId="172" fontId="6" fillId="11" borderId="9" xfId="1" applyNumberFormat="1" applyFont="1" applyFill="1" applyBorder="1" applyAlignment="1">
      <alignment horizontal="right"/>
    </xf>
    <xf numFmtId="164" fontId="6" fillId="11" borderId="0" xfId="0" applyNumberFormat="1" applyFont="1" applyFill="1"/>
    <xf numFmtId="164" fontId="6" fillId="11" borderId="9" xfId="0" applyNumberFormat="1" applyFont="1" applyFill="1" applyBorder="1" applyAlignment="1">
      <alignment horizontal="right"/>
    </xf>
    <xf numFmtId="0" fontId="6" fillId="11" borderId="9" xfId="0" applyFont="1" applyFill="1" applyBorder="1" applyAlignment="1">
      <alignment horizontal="right"/>
    </xf>
    <xf numFmtId="0" fontId="3" fillId="11" borderId="9" xfId="0" applyFont="1" applyFill="1" applyBorder="1" applyAlignment="1">
      <alignment horizontal="left"/>
    </xf>
    <xf numFmtId="164" fontId="9" fillId="11" borderId="9" xfId="0" applyNumberFormat="1" applyFont="1" applyFill="1" applyBorder="1" applyAlignment="1">
      <alignment horizontal="right"/>
    </xf>
    <xf numFmtId="164" fontId="3" fillId="11" borderId="1" xfId="0" applyNumberFormat="1" applyFont="1" applyFill="1" applyBorder="1" applyAlignment="1">
      <alignment horizontal="right"/>
    </xf>
    <xf numFmtId="0" fontId="3" fillId="11" borderId="0" xfId="0" applyFont="1" applyFill="1" applyAlignment="1">
      <alignment horizontal="right"/>
    </xf>
    <xf numFmtId="164" fontId="3" fillId="11" borderId="0" xfId="0" applyNumberFormat="1" applyFont="1" applyFill="1" applyAlignment="1">
      <alignment horizontal="right"/>
    </xf>
    <xf numFmtId="164" fontId="3" fillId="0" borderId="0" xfId="0" applyNumberFormat="1" applyFont="1" applyBorder="1" applyAlignment="1">
      <alignment horizontal="right"/>
    </xf>
    <xf numFmtId="0" fontId="0" fillId="0" borderId="12" xfId="0" applyBorder="1" applyAlignment="1">
      <alignment horizontal="left"/>
    </xf>
    <xf numFmtId="164" fontId="0" fillId="0" borderId="12" xfId="0" applyNumberFormat="1" applyBorder="1" applyAlignment="1">
      <alignment horizontal="right"/>
    </xf>
    <xf numFmtId="0" fontId="0" fillId="0" borderId="13" xfId="0" applyBorder="1" applyAlignment="1">
      <alignment horizontal="left"/>
    </xf>
    <xf numFmtId="10" fontId="0" fillId="0" borderId="13" xfId="1" applyNumberFormat="1" applyFont="1" applyBorder="1" applyAlignment="1">
      <alignment horizontal="right"/>
    </xf>
    <xf numFmtId="0" fontId="0" fillId="0" borderId="13" xfId="0" applyBorder="1" applyAlignment="1">
      <alignment horizontal="right"/>
    </xf>
    <xf numFmtId="164" fontId="0" fillId="0" borderId="13" xfId="0" applyNumberFormat="1" applyBorder="1" applyAlignment="1">
      <alignment horizontal="right"/>
    </xf>
    <xf numFmtId="0" fontId="0" fillId="0" borderId="14" xfId="0" applyBorder="1" applyAlignment="1">
      <alignment horizontal="left"/>
    </xf>
    <xf numFmtId="164" fontId="0" fillId="0" borderId="14" xfId="0" applyNumberFormat="1" applyBorder="1" applyAlignment="1">
      <alignment horizontal="right"/>
    </xf>
    <xf numFmtId="14" fontId="39" fillId="0" borderId="0" xfId="0" applyNumberFormat="1" applyFont="1" applyAlignment="1">
      <alignment horizontal="right"/>
    </xf>
    <xf numFmtId="0" fontId="17" fillId="0" borderId="0" xfId="0" applyFont="1" applyBorder="1" applyAlignment="1">
      <alignment horizontal="right"/>
    </xf>
    <xf numFmtId="171" fontId="21" fillId="7" borderId="0" xfId="0" applyNumberFormat="1" applyFont="1" applyFill="1" applyBorder="1" applyAlignment="1">
      <alignment horizontal="right" vertical="top"/>
    </xf>
    <xf numFmtId="171" fontId="21" fillId="7" borderId="2" xfId="0" applyNumberFormat="1" applyFont="1" applyFill="1" applyBorder="1" applyAlignment="1">
      <alignment horizontal="right" vertical="top"/>
    </xf>
    <xf numFmtId="169" fontId="0" fillId="7" borderId="0" xfId="0" applyNumberFormat="1" applyFont="1" applyFill="1" applyBorder="1" applyAlignment="1">
      <alignment horizontal="right" vertical="top"/>
    </xf>
    <xf numFmtId="169" fontId="21" fillId="7" borderId="0" xfId="0" applyNumberFormat="1" applyFont="1" applyFill="1" applyBorder="1" applyAlignment="1">
      <alignment horizontal="right" vertical="top"/>
    </xf>
    <xf numFmtId="169" fontId="12" fillId="0" borderId="0" xfId="0" applyNumberFormat="1" applyFont="1" applyBorder="1"/>
    <xf numFmtId="164" fontId="21" fillId="7" borderId="0" xfId="0" applyNumberFormat="1" applyFont="1" applyFill="1" applyBorder="1"/>
    <xf numFmtId="170" fontId="12" fillId="0" borderId="0" xfId="0" applyNumberFormat="1" applyFont="1" applyBorder="1"/>
    <xf numFmtId="169" fontId="21" fillId="7" borderId="0" xfId="0" applyNumberFormat="1" applyFont="1" applyFill="1" applyBorder="1"/>
    <xf numFmtId="169" fontId="12" fillId="2" borderId="0" xfId="0" applyNumberFormat="1" applyFont="1" applyFill="1" applyBorder="1"/>
    <xf numFmtId="0" fontId="31" fillId="0" borderId="0" xfId="0" applyFont="1" applyBorder="1" applyAlignment="1">
      <alignment horizontal="right"/>
    </xf>
    <xf numFmtId="0" fontId="31" fillId="2" borderId="0" xfId="0" applyFont="1" applyFill="1" applyBorder="1" applyAlignment="1">
      <alignment horizontal="right"/>
    </xf>
    <xf numFmtId="167" fontId="0" fillId="2" borderId="9" xfId="0" applyNumberFormat="1" applyFont="1" applyFill="1" applyBorder="1" applyAlignment="1">
      <alignment horizontal="right"/>
    </xf>
    <xf numFmtId="0" fontId="17" fillId="0" borderId="15" xfId="0" applyFont="1" applyBorder="1"/>
    <xf numFmtId="0" fontId="17" fillId="0" borderId="16" xfId="0" applyFont="1" applyBorder="1"/>
    <xf numFmtId="0" fontId="17" fillId="0" borderId="16" xfId="0" applyFont="1" applyBorder="1" applyAlignment="1">
      <alignment horizontal="right"/>
    </xf>
    <xf numFmtId="0" fontId="17" fillId="2" borderId="16" xfId="0" applyFont="1" applyFill="1" applyBorder="1"/>
    <xf numFmtId="0" fontId="0" fillId="0" borderId="17" xfId="0" applyBorder="1"/>
    <xf numFmtId="0" fontId="17" fillId="0" borderId="18" xfId="0" applyFont="1" applyBorder="1"/>
    <xf numFmtId="0" fontId="17" fillId="0" borderId="0" xfId="0" applyFont="1" applyBorder="1"/>
    <xf numFmtId="0" fontId="17" fillId="2" borderId="0" xfId="0" applyFont="1" applyFill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1" xfId="0" applyBorder="1" applyAlignment="1">
      <alignment horizontal="right"/>
    </xf>
    <xf numFmtId="0" fontId="0" fillId="2" borderId="21" xfId="0" applyFill="1" applyBorder="1"/>
    <xf numFmtId="0" fontId="0" fillId="0" borderId="22" xfId="0" applyBorder="1"/>
    <xf numFmtId="0" fontId="3" fillId="5" borderId="3" xfId="0" applyNumberFormat="1" applyFont="1" applyFill="1" applyBorder="1" applyAlignment="1">
      <alignment horizontal="center"/>
    </xf>
    <xf numFmtId="0" fontId="3" fillId="5" borderId="5" xfId="0" applyNumberFormat="1" applyFont="1" applyFill="1" applyBorder="1" applyAlignment="1">
      <alignment horizontal="center"/>
    </xf>
    <xf numFmtId="0" fontId="3" fillId="5" borderId="4" xfId="0" applyNumberFormat="1" applyFont="1" applyFill="1" applyBorder="1" applyAlignment="1">
      <alignment horizontal="center"/>
    </xf>
    <xf numFmtId="0" fontId="3" fillId="5" borderId="4" xfId="0" applyNumberFormat="1" applyFont="1" applyFill="1" applyBorder="1" applyAlignment="1">
      <alignment horizontal="right"/>
    </xf>
    <xf numFmtId="0" fontId="3" fillId="5" borderId="3" xfId="0" applyNumberFormat="1" applyFont="1" applyFill="1" applyBorder="1" applyAlignment="1">
      <alignment horizontal="right"/>
    </xf>
    <xf numFmtId="0" fontId="16" fillId="4" borderId="0" xfId="0" applyFont="1" applyFill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57523"/>
      <color rgb="FFFEEFE6"/>
      <color rgb="FFFFFFFF"/>
      <color rgb="FFFCD7C0"/>
      <color rgb="FFF6D4D2"/>
      <color rgb="FFEEEEEE"/>
      <color rgb="FFE2E2E2"/>
      <color rgb="FFFBECEB"/>
      <color rgb="FFF0BAB7"/>
      <color rgb="FFD61F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&amp; Gross Margin (%)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rgbClr val="F57523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2DF1-4355-86FD-BDE0DEA1DE7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DF1-4355-86FD-BDE0DEA1DE74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2DF1-4355-86FD-BDE0DEA1DE7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DF1-4355-86FD-BDE0DEA1DE74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2DF1-4355-86FD-BDE0DEA1DE74}"/>
              </c:ext>
            </c:extLst>
          </c:dPt>
          <c:cat>
            <c:strRef>
              <c:f>'3_statement_model'!$C$167:$L$167</c:f>
              <c:strCache>
                <c:ptCount val="10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</c:strCache>
            </c:strRef>
          </c:cat>
          <c:val>
            <c:numRef>
              <c:f>'3_statement_model'!$C$171:$L$171</c:f>
              <c:numCache>
                <c:formatCode>#,##0_);\(#,##0\);\–_)</c:formatCode>
                <c:ptCount val="10"/>
                <c:pt idx="0">
                  <c:v>46710</c:v>
                </c:pt>
                <c:pt idx="1">
                  <c:v>51217</c:v>
                </c:pt>
                <c:pt idx="2">
                  <c:v>51362</c:v>
                </c:pt>
                <c:pt idx="3">
                  <c:v>46309</c:v>
                </c:pt>
                <c:pt idx="4">
                  <c:v>46398</c:v>
                </c:pt>
                <c:pt idx="5">
                  <c:v>42952.270000000004</c:v>
                </c:pt>
                <c:pt idx="6">
                  <c:v>44027.854100000004</c:v>
                </c:pt>
                <c:pt idx="7">
                  <c:v>46085.685123499999</c:v>
                </c:pt>
                <c:pt idx="8">
                  <c:v>48244.808434647501</c:v>
                </c:pt>
                <c:pt idx="9">
                  <c:v>50510.323156063292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F1-4355-86FD-BDE0DEA1D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7139711"/>
        <c:axId val="2047143039"/>
      </c:barChart>
      <c:lineChart>
        <c:grouping val="standard"/>
        <c:varyColors val="0"/>
        <c:ser>
          <c:idx val="1"/>
          <c:order val="1"/>
          <c:tx>
            <c:v>Gross Margin (%)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'3_statement_model'!$C$169:$L$169</c:f>
              <c:strCache>
                <c:ptCount val="10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  <c:pt idx="4">
                  <c:v>FY2026</c:v>
                </c:pt>
                <c:pt idx="5">
                  <c:v>FY2027</c:v>
                </c:pt>
                <c:pt idx="6">
                  <c:v>FY2028</c:v>
                </c:pt>
                <c:pt idx="7">
                  <c:v>FY2029</c:v>
                </c:pt>
                <c:pt idx="8">
                  <c:v>FY2030</c:v>
                </c:pt>
                <c:pt idx="9">
                  <c:v>FY2031</c:v>
                </c:pt>
              </c:strCache>
            </c:strRef>
          </c:cat>
          <c:val>
            <c:numRef>
              <c:f>'3_statement_model'!$C$172:$L$172</c:f>
              <c:numCache>
                <c:formatCode>0.00%</c:formatCode>
                <c:ptCount val="10"/>
                <c:pt idx="0">
                  <c:v>0.45983729394134021</c:v>
                </c:pt>
                <c:pt idx="1">
                  <c:v>0.43524610969014194</c:v>
                </c:pt>
                <c:pt idx="2">
                  <c:v>0.44560180678322497</c:v>
                </c:pt>
                <c:pt idx="3">
                  <c:v>0.42734673605562634</c:v>
                </c:pt>
                <c:pt idx="4">
                  <c:v>0.42913487650329757</c:v>
                </c:pt>
                <c:pt idx="5">
                  <c:v>0.43943336459472615</c:v>
                </c:pt>
                <c:pt idx="6">
                  <c:v>0.43943336459472615</c:v>
                </c:pt>
                <c:pt idx="7">
                  <c:v>0.43943336459472615</c:v>
                </c:pt>
                <c:pt idx="8">
                  <c:v>0.43943336459472615</c:v>
                </c:pt>
                <c:pt idx="9">
                  <c:v>0.43943336459472615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F1-4355-86FD-BDE0DEA1D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7136383"/>
        <c:axId val="2047135967"/>
      </c:lineChart>
      <c:catAx>
        <c:axId val="2047139711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143039"/>
        <c:crosses val="autoZero"/>
        <c:auto val="0"/>
        <c:lblAlgn val="ctr"/>
        <c:lblOffset val="100"/>
        <c:noMultiLvlLbl val="0"/>
      </c:catAx>
      <c:valAx>
        <c:axId val="2047143039"/>
        <c:scaling>
          <c:orientation val="minMax"/>
        </c:scaling>
        <c:delete val="0"/>
        <c:axPos val="l"/>
        <c:numFmt formatCode="#,##0_);\(#,##0\);\–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139711"/>
        <c:crosses val="autoZero"/>
        <c:crossBetween val="between"/>
      </c:valAx>
      <c:valAx>
        <c:axId val="204713596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136383"/>
        <c:crosses val="max"/>
        <c:crossBetween val="between"/>
      </c:valAx>
      <c:catAx>
        <c:axId val="20471363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47135967"/>
        <c:crosses val="autoZero"/>
        <c:auto val="0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</a:t>
            </a:r>
            <a:r>
              <a:rPr lang="en-US" baseline="0"/>
              <a:t> Flow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Operating Cash Flow</c:v>
          </c:tx>
          <c:spPr>
            <a:solidFill>
              <a:srgbClr val="F57523"/>
            </a:solidFill>
            <a:ln>
              <a:noFill/>
            </a:ln>
            <a:effectLst/>
          </c:spPr>
          <c:invertIfNegative val="0"/>
          <c:cat>
            <c:strRef>
              <c:f>'3_statement_model'!$C$167:$L$167</c:f>
              <c:strCache>
                <c:ptCount val="10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</c:strCache>
            </c:strRef>
          </c:cat>
          <c:val>
            <c:numRef>
              <c:f>'3_statement_model'!$C$174:$L$174</c:f>
              <c:numCache>
                <c:formatCode>#,##0_);\(#,##0\);\–_)</c:formatCode>
                <c:ptCount val="10"/>
                <c:pt idx="0">
                  <c:v>5188</c:v>
                </c:pt>
                <c:pt idx="1">
                  <c:v>5841</c:v>
                </c:pt>
                <c:pt idx="2">
                  <c:v>7429</c:v>
                </c:pt>
                <c:pt idx="3">
                  <c:v>3698</c:v>
                </c:pt>
                <c:pt idx="4">
                  <c:v>2868</c:v>
                </c:pt>
                <c:pt idx="5">
                  <c:v>5548.500538373657</c:v>
                </c:pt>
                <c:pt idx="6">
                  <c:v>4602.4553855667873</c:v>
                </c:pt>
                <c:pt idx="7">
                  <c:v>4734.1631580837857</c:v>
                </c:pt>
                <c:pt idx="8">
                  <c:v>4975.5191563302151</c:v>
                </c:pt>
                <c:pt idx="9">
                  <c:v>5234.6485160591783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C0-431A-9F3C-D583EAB9F677}"/>
            </c:ext>
          </c:extLst>
        </c:ser>
        <c:ser>
          <c:idx val="1"/>
          <c:order val="1"/>
          <c:tx>
            <c:v>Investing Cash Flow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'3_statement_model'!$C$167:$L$167</c:f>
              <c:strCache>
                <c:ptCount val="10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</c:strCache>
            </c:strRef>
          </c:cat>
          <c:val>
            <c:numRef>
              <c:f>'3_statement_model'!$C$175:$L$175</c:f>
              <c:numCache>
                <c:formatCode>#,##0_);\(#,##0\);\–_)</c:formatCode>
                <c:ptCount val="10"/>
                <c:pt idx="0">
                  <c:v>-1524</c:v>
                </c:pt>
                <c:pt idx="1">
                  <c:v>564</c:v>
                </c:pt>
                <c:pt idx="2">
                  <c:v>894</c:v>
                </c:pt>
                <c:pt idx="3">
                  <c:v>-275</c:v>
                </c:pt>
                <c:pt idx="4">
                  <c:v>-488</c:v>
                </c:pt>
                <c:pt idx="5">
                  <c:v>-644.14752964076717</c:v>
                </c:pt>
                <c:pt idx="6">
                  <c:v>-660.27787248262132</c:v>
                </c:pt>
                <c:pt idx="7">
                  <c:v>-691.13879718358942</c:v>
                </c:pt>
                <c:pt idx="8">
                  <c:v>-723.51878424982499</c:v>
                </c:pt>
                <c:pt idx="9">
                  <c:v>-757.49430431348571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C0-431A-9F3C-D583EAB9F677}"/>
            </c:ext>
          </c:extLst>
        </c:ser>
        <c:ser>
          <c:idx val="2"/>
          <c:order val="2"/>
          <c:tx>
            <c:v>Financing Cash Flow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'3_statement_model'!$C$167:$L$167</c:f>
              <c:strCache>
                <c:ptCount val="10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</c:strCache>
            </c:strRef>
          </c:cat>
          <c:val>
            <c:numRef>
              <c:f>'3_statement_model'!$C$176:$L$176</c:f>
              <c:numCache>
                <c:formatCode>#,##0_);\(#,##0\);\–_)</c:formatCode>
                <c:ptCount val="10"/>
                <c:pt idx="0">
                  <c:v>-4836</c:v>
                </c:pt>
                <c:pt idx="1">
                  <c:v>-7447</c:v>
                </c:pt>
                <c:pt idx="2">
                  <c:v>-5888</c:v>
                </c:pt>
                <c:pt idx="3">
                  <c:v>-5820</c:v>
                </c:pt>
                <c:pt idx="4">
                  <c:v>-2292</c:v>
                </c:pt>
                <c:pt idx="5">
                  <c:v>-5209.9048608356934</c:v>
                </c:pt>
                <c:pt idx="6">
                  <c:v>-3234.8768345697586</c:v>
                </c:pt>
                <c:pt idx="7">
                  <c:v>-3259.5599664525048</c:v>
                </c:pt>
                <c:pt idx="8">
                  <c:v>-4783.9242069077809</c:v>
                </c:pt>
                <c:pt idx="9">
                  <c:v>-3307.9381844067898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C0-431A-9F3C-D583EAB9F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4632159"/>
        <c:axId val="2064620927"/>
      </c:barChart>
      <c:catAx>
        <c:axId val="206463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620927"/>
        <c:crosses val="autoZero"/>
        <c:auto val="1"/>
        <c:lblAlgn val="ctr"/>
        <c:lblOffset val="100"/>
        <c:noMultiLvlLbl val="0"/>
      </c:catAx>
      <c:valAx>
        <c:axId val="2064620927"/>
        <c:scaling>
          <c:orientation val="minMax"/>
        </c:scaling>
        <c:delete val="0"/>
        <c:axPos val="l"/>
        <c:numFmt formatCode="#,##0_);\(#,##0\);\–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632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1433846</xdr:colOff>
      <xdr:row>177</xdr:row>
      <xdr:rowOff>176702</xdr:rowOff>
    </xdr:from>
    <xdr:to>
      <xdr:col>4</xdr:col>
      <xdr:colOff>24303</xdr:colOff>
      <xdr:row>193</xdr:row>
      <xdr:rowOff>34964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69772</xdr:colOff>
      <xdr:row>177</xdr:row>
      <xdr:rowOff>113986</xdr:rowOff>
    </xdr:from>
    <xdr:to>
      <xdr:col>11</xdr:col>
      <xdr:colOff>118377</xdr:colOff>
      <xdr:row>192</xdr:row>
      <xdr:rowOff>152556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76"/>
  <sheetViews>
    <sheetView showGridLines="0" tabSelected="1" topLeftCell="A183" zoomScale="89" zoomScaleNormal="86" workbookViewId="0">
      <selection activeCell="E191" sqref="E191"/>
    </sheetView>
  </sheetViews>
  <sheetFormatPr defaultRowHeight="14.5" x14ac:dyDescent="0.35"/>
  <cols>
    <col min="1" max="1" width="1.81640625" customWidth="1"/>
    <col min="2" max="2" width="63.1796875" style="2" bestFit="1" customWidth="1"/>
    <col min="3" max="3" width="11.90625" style="22" customWidth="1"/>
    <col min="4" max="4" width="10.54296875" style="22" customWidth="1"/>
    <col min="5" max="5" width="11.6328125" style="22" customWidth="1"/>
    <col min="6" max="6" width="11.1796875" style="22" customWidth="1"/>
    <col min="7" max="7" width="11.26953125" style="22" customWidth="1"/>
    <col min="8" max="8" width="12.1796875" style="22" customWidth="1"/>
    <col min="9" max="9" width="10.453125" style="22" customWidth="1"/>
    <col min="10" max="10" width="9.90625" style="22" customWidth="1"/>
    <col min="11" max="12" width="9.7265625" style="22" customWidth="1"/>
  </cols>
  <sheetData>
    <row r="1" spans="2:12" x14ac:dyDescent="0.35">
      <c r="B1" s="1"/>
      <c r="C1" s="13"/>
      <c r="D1" s="13"/>
      <c r="E1" s="13"/>
      <c r="F1" s="13"/>
      <c r="G1" s="13"/>
    </row>
    <row r="2" spans="2:12" ht="30" customHeight="1" x14ac:dyDescent="0.35">
      <c r="B2" s="31" t="s">
        <v>53</v>
      </c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2:12" ht="18" customHeight="1" x14ac:dyDescent="0.35">
      <c r="B3" s="33" t="s">
        <v>54</v>
      </c>
      <c r="C3" s="34"/>
      <c r="D3" s="34"/>
      <c r="E3" s="34"/>
      <c r="F3" s="34"/>
      <c r="G3" s="34"/>
      <c r="H3" s="39"/>
      <c r="I3" s="39"/>
      <c r="J3" s="39"/>
      <c r="K3" s="39"/>
      <c r="L3" s="39"/>
    </row>
    <row r="4" spans="2:12" s="23" customFormat="1" x14ac:dyDescent="0.35">
      <c r="B4" s="121"/>
      <c r="C4" s="122"/>
      <c r="D4" s="122"/>
      <c r="E4" s="122"/>
      <c r="F4" s="122"/>
      <c r="G4" s="122"/>
      <c r="H4" s="123"/>
      <c r="I4" s="123"/>
      <c r="J4" s="123"/>
      <c r="K4" s="123"/>
      <c r="L4" s="123"/>
    </row>
    <row r="5" spans="2:12" x14ac:dyDescent="0.35">
      <c r="B5" s="43" t="s">
        <v>89</v>
      </c>
      <c r="C5" s="254" t="s">
        <v>55</v>
      </c>
      <c r="D5" s="254"/>
      <c r="E5" s="254"/>
      <c r="F5" s="254"/>
      <c r="G5" s="255"/>
      <c r="H5" s="257" t="s">
        <v>80</v>
      </c>
      <c r="I5" s="258"/>
      <c r="J5" s="258"/>
      <c r="K5" s="258"/>
      <c r="L5" s="258"/>
    </row>
    <row r="6" spans="2:12" x14ac:dyDescent="0.35">
      <c r="B6" s="36" t="s">
        <v>179</v>
      </c>
      <c r="C6" s="37" t="s">
        <v>0</v>
      </c>
      <c r="D6" s="37" t="s">
        <v>1</v>
      </c>
      <c r="E6" s="37" t="s">
        <v>2</v>
      </c>
      <c r="F6" s="37" t="s">
        <v>3</v>
      </c>
      <c r="G6" s="37" t="s">
        <v>4</v>
      </c>
      <c r="H6" s="37" t="s">
        <v>49</v>
      </c>
      <c r="I6" s="37" t="s">
        <v>50</v>
      </c>
      <c r="J6" s="37" t="s">
        <v>51</v>
      </c>
      <c r="K6" s="37" t="s">
        <v>52</v>
      </c>
      <c r="L6" s="37" t="s">
        <v>56</v>
      </c>
    </row>
    <row r="7" spans="2:12" x14ac:dyDescent="0.35">
      <c r="B7" s="11"/>
      <c r="C7" s="124"/>
      <c r="D7" s="93"/>
      <c r="E7" s="93"/>
      <c r="F7" s="93"/>
      <c r="G7" s="93"/>
      <c r="H7" s="70"/>
      <c r="I7" s="70"/>
      <c r="J7" s="70"/>
      <c r="K7" s="70"/>
      <c r="L7" s="70"/>
    </row>
    <row r="8" spans="2:12" x14ac:dyDescent="0.35">
      <c r="B8" s="137" t="s">
        <v>188</v>
      </c>
      <c r="C8" s="138" t="str">
        <f>C29</f>
        <v>-</v>
      </c>
      <c r="D8" s="138">
        <f t="shared" ref="D8:L8" si="0">D29</f>
        <v>9.6488974523656609E-2</v>
      </c>
      <c r="E8" s="138">
        <f t="shared" si="0"/>
        <v>2.8310912392369722E-3</v>
      </c>
      <c r="F8" s="138">
        <f t="shared" si="0"/>
        <v>-9.8380125384525521E-2</v>
      </c>
      <c r="G8" s="138">
        <f t="shared" si="0"/>
        <v>1.9218726381480921E-3</v>
      </c>
      <c r="H8" s="205">
        <f t="shared" si="0"/>
        <v>-7.4264623475149699E-2</v>
      </c>
      <c r="I8" s="205">
        <f t="shared" si="0"/>
        <v>2.5041379652344334E-2</v>
      </c>
      <c r="J8" s="205">
        <f t="shared" si="0"/>
        <v>4.6739298690916559E-2</v>
      </c>
      <c r="K8" s="205">
        <f t="shared" si="0"/>
        <v>4.6850194487973916E-2</v>
      </c>
      <c r="L8" s="205">
        <f t="shared" si="0"/>
        <v>4.6958725610542353E-2</v>
      </c>
    </row>
    <row r="9" spans="2:12" x14ac:dyDescent="0.35">
      <c r="B9" s="137" t="s">
        <v>189</v>
      </c>
      <c r="C9" s="139">
        <f>C30/C28</f>
        <v>0.54016270605865979</v>
      </c>
      <c r="D9" s="139">
        <f t="shared" ref="D9:L9" si="1">D30/D28</f>
        <v>0.56475389030985801</v>
      </c>
      <c r="E9" s="139">
        <f t="shared" si="1"/>
        <v>0.55439819321677508</v>
      </c>
      <c r="F9" s="139">
        <f t="shared" si="1"/>
        <v>0.57265326394437366</v>
      </c>
      <c r="G9" s="139">
        <f t="shared" si="1"/>
        <v>0.57086512349670249</v>
      </c>
      <c r="H9" s="206">
        <f t="shared" si="1"/>
        <v>0.56056663540527385</v>
      </c>
      <c r="I9" s="206">
        <f t="shared" si="1"/>
        <v>0.56056663540527385</v>
      </c>
      <c r="J9" s="206">
        <f t="shared" si="1"/>
        <v>0.56056663540527385</v>
      </c>
      <c r="K9" s="206">
        <f t="shared" si="1"/>
        <v>0.56056663540527385</v>
      </c>
      <c r="L9" s="206">
        <f t="shared" si="1"/>
        <v>0.56056663540527385</v>
      </c>
    </row>
    <row r="10" spans="2:12" x14ac:dyDescent="0.35">
      <c r="B10" s="137" t="s">
        <v>7</v>
      </c>
      <c r="C10" s="139">
        <f>C34/C28</f>
        <v>8.2423463926354093E-2</v>
      </c>
      <c r="D10" s="139">
        <f t="shared" ref="D10:G10" si="2">D34/D28</f>
        <v>7.9270554698635212E-2</v>
      </c>
      <c r="E10" s="139">
        <f t="shared" si="2"/>
        <v>8.3427436626299603E-2</v>
      </c>
      <c r="F10" s="139">
        <f t="shared" si="2"/>
        <v>0.10125461573344274</v>
      </c>
      <c r="G10" s="139">
        <f t="shared" si="2"/>
        <v>0.10246131298762878</v>
      </c>
      <c r="H10" s="206">
        <f>Notes!C35</f>
        <v>0.10185796436053576</v>
      </c>
      <c r="I10" s="206">
        <f t="shared" ref="I10:I18" si="3">H10</f>
        <v>0.10185796436053576</v>
      </c>
      <c r="J10" s="206">
        <f t="shared" ref="J10:L10" si="4">I10</f>
        <v>0.10185796436053576</v>
      </c>
      <c r="K10" s="206">
        <f t="shared" si="4"/>
        <v>0.10185796436053576</v>
      </c>
      <c r="L10" s="206">
        <f t="shared" si="4"/>
        <v>0.10185796436053576</v>
      </c>
    </row>
    <row r="11" spans="2:12" x14ac:dyDescent="0.35">
      <c r="B11" s="137" t="s">
        <v>190</v>
      </c>
      <c r="C11" s="139">
        <f>C35/C28</f>
        <v>0.23451081138942412</v>
      </c>
      <c r="D11" s="139">
        <f t="shared" ref="D11:G11" si="5">D35/D28</f>
        <v>0.24048655719780543</v>
      </c>
      <c r="E11" s="139">
        <f t="shared" si="5"/>
        <v>0.23930142907207663</v>
      </c>
      <c r="F11" s="139">
        <f t="shared" si="5"/>
        <v>0.24615085620505733</v>
      </c>
      <c r="G11" s="139">
        <f t="shared" si="5"/>
        <v>0.24483813957498168</v>
      </c>
      <c r="H11" s="205">
        <f>Notes!C36</f>
        <v>0.24549449789001951</v>
      </c>
      <c r="I11" s="205">
        <f t="shared" si="3"/>
        <v>0.24549449789001951</v>
      </c>
      <c r="J11" s="205">
        <f t="shared" ref="J11:L11" si="6">I11</f>
        <v>0.24549449789001951</v>
      </c>
      <c r="K11" s="205">
        <f t="shared" si="6"/>
        <v>0.24549449789001951</v>
      </c>
      <c r="L11" s="205">
        <f t="shared" si="6"/>
        <v>0.24549449789001951</v>
      </c>
    </row>
    <row r="12" spans="2:12" x14ac:dyDescent="0.35">
      <c r="B12" s="137" t="s">
        <v>209</v>
      </c>
      <c r="C12" s="139">
        <f>C108/C28</f>
        <v>1.7983301220295438E-2</v>
      </c>
      <c r="D12" s="139">
        <f>D108/D28</f>
        <v>1.6771774996583166E-2</v>
      </c>
      <c r="E12" s="139">
        <f>E108/E28</f>
        <v>1.5497838869202913E-2</v>
      </c>
      <c r="F12" s="139">
        <f>F108/F28</f>
        <v>1.6735407804098556E-2</v>
      </c>
      <c r="G12" s="139">
        <f>G108/G28</f>
        <v>1.6099831889305572E-2</v>
      </c>
      <c r="H12" s="206">
        <f>Notes!C40</f>
        <v>1.6617630955897127E-2</v>
      </c>
      <c r="I12" s="205">
        <f t="shared" si="3"/>
        <v>1.6617630955897127E-2</v>
      </c>
      <c r="J12" s="205">
        <f t="shared" ref="J12:L12" si="7">I12</f>
        <v>1.6617630955897127E-2</v>
      </c>
      <c r="K12" s="205">
        <f t="shared" si="7"/>
        <v>1.6617630955897127E-2</v>
      </c>
      <c r="L12" s="205">
        <f t="shared" si="7"/>
        <v>1.6617630955897127E-2</v>
      </c>
    </row>
    <row r="13" spans="2:12" x14ac:dyDescent="0.35">
      <c r="B13" s="137" t="s">
        <v>235</v>
      </c>
      <c r="C13" s="140">
        <f>C41/(C78+C79+C85)</f>
        <v>2.1739130434782608E-2</v>
      </c>
      <c r="D13" s="140">
        <f t="shared" ref="D13:G13" si="8">D41/(D78+D79+D85)</f>
        <v>-6.716668532407926E-4</v>
      </c>
      <c r="E13" s="140">
        <f t="shared" si="8"/>
        <v>-1.8071612975642609E-2</v>
      </c>
      <c r="F13" s="140">
        <f t="shared" si="8"/>
        <v>-1.3440522547418666E-2</v>
      </c>
      <c r="G13" s="140">
        <f t="shared" si="8"/>
        <v>-6.2956434147569884E-3</v>
      </c>
      <c r="H13" s="206">
        <f>Notes!C57</f>
        <v>4.0621266427718038E-2</v>
      </c>
      <c r="I13" s="205">
        <f t="shared" si="3"/>
        <v>4.0621266427718038E-2</v>
      </c>
      <c r="J13" s="205">
        <f t="shared" ref="J13:L13" si="9">I13</f>
        <v>4.0621266427718038E-2</v>
      </c>
      <c r="K13" s="205">
        <f t="shared" si="9"/>
        <v>4.0621266427718038E-2</v>
      </c>
      <c r="L13" s="205">
        <f t="shared" si="9"/>
        <v>4.0621266427718038E-2</v>
      </c>
    </row>
    <row r="14" spans="2:12" x14ac:dyDescent="0.35">
      <c r="B14" s="137" t="s">
        <v>180</v>
      </c>
      <c r="C14" s="138">
        <f>C47</f>
        <v>9.0963764847391368E-2</v>
      </c>
      <c r="D14" s="138">
        <f t="shared" ref="D14:G14" si="10">D47</f>
        <v>0.18238993710691823</v>
      </c>
      <c r="E14" s="138">
        <f t="shared" si="10"/>
        <v>0.14925373134328357</v>
      </c>
      <c r="F14" s="138">
        <f t="shared" si="10"/>
        <v>0.17142857142857143</v>
      </c>
      <c r="G14" s="138">
        <f t="shared" si="10"/>
        <v>0.20307692307692307</v>
      </c>
      <c r="H14" s="206">
        <f>Notes!C53</f>
        <v>0.20307692307692307</v>
      </c>
      <c r="I14" s="206">
        <f t="shared" si="3"/>
        <v>0.20307692307692307</v>
      </c>
      <c r="J14" s="206">
        <f t="shared" ref="J14:L14" si="11">I14</f>
        <v>0.20307692307692307</v>
      </c>
      <c r="K14" s="206">
        <f t="shared" si="11"/>
        <v>0.20307692307692307</v>
      </c>
      <c r="L14" s="206">
        <f t="shared" si="11"/>
        <v>0.20307692307692307</v>
      </c>
    </row>
    <row r="15" spans="2:12" x14ac:dyDescent="0.35">
      <c r="B15" s="137" t="s">
        <v>182</v>
      </c>
      <c r="C15" s="141">
        <f>C66/C28*365</f>
        <v>36.468743309783775</v>
      </c>
      <c r="D15" s="141">
        <f>D66/D28*365</f>
        <v>29.439736806138587</v>
      </c>
      <c r="E15" s="141">
        <f>E66/E28*365</f>
        <v>31.460126163311397</v>
      </c>
      <c r="F15" s="141">
        <f>F66/F28*365</f>
        <v>37.178626184974839</v>
      </c>
      <c r="G15" s="141">
        <f>G66/G28*365</f>
        <v>46.657506789085737</v>
      </c>
      <c r="H15" s="207">
        <f>Notes!C45</f>
        <v>41.918066487030288</v>
      </c>
      <c r="I15" s="207">
        <f t="shared" si="3"/>
        <v>41.918066487030288</v>
      </c>
      <c r="J15" s="207">
        <f>I15</f>
        <v>41.918066487030288</v>
      </c>
      <c r="K15" s="207">
        <f t="shared" ref="K15:L15" si="12">J15</f>
        <v>41.918066487030288</v>
      </c>
      <c r="L15" s="207">
        <f t="shared" si="12"/>
        <v>41.918066487030288</v>
      </c>
    </row>
    <row r="16" spans="2:12" x14ac:dyDescent="0.35">
      <c r="B16" s="137" t="s">
        <v>183</v>
      </c>
      <c r="C16" s="141">
        <f>(C67/C30)*365</f>
        <v>121.8065078673061</v>
      </c>
      <c r="D16" s="141">
        <f>(D67/D30)*365</f>
        <v>106.67968885047536</v>
      </c>
      <c r="E16" s="141">
        <f>(E67/E30)*365</f>
        <v>96.380509218612829</v>
      </c>
      <c r="F16" s="141">
        <f>(F67/F30)*365</f>
        <v>103.07647347185038</v>
      </c>
      <c r="G16" s="141">
        <f>(G67/G30)*365</f>
        <v>103.36636840714313</v>
      </c>
      <c r="H16" s="207">
        <f>Notes!C46</f>
        <v>103.22142093949675</v>
      </c>
      <c r="I16" s="207">
        <f t="shared" si="3"/>
        <v>103.22142093949675</v>
      </c>
      <c r="J16" s="207">
        <f t="shared" ref="J16:L16" si="13">I16</f>
        <v>103.22142093949675</v>
      </c>
      <c r="K16" s="207">
        <f t="shared" si="13"/>
        <v>103.22142093949675</v>
      </c>
      <c r="L16" s="207">
        <f t="shared" si="13"/>
        <v>103.22142093949675</v>
      </c>
    </row>
    <row r="17" spans="2:12" x14ac:dyDescent="0.35">
      <c r="B17" s="137" t="s">
        <v>184</v>
      </c>
      <c r="C17" s="141">
        <f>C80/C30*365</f>
        <v>48.577939835916133</v>
      </c>
      <c r="D17" s="141">
        <f>D80/D30*365</f>
        <v>36.115125324114082</v>
      </c>
      <c r="E17" s="141">
        <f>E80/E30*365</f>
        <v>36.544863915715538</v>
      </c>
      <c r="F17" s="141">
        <f>F80/F30*365</f>
        <v>47.883969983785214</v>
      </c>
      <c r="G17" s="141">
        <f>G80/G30*365</f>
        <v>49.60924226979273</v>
      </c>
      <c r="H17" s="207">
        <f>Notes!C47</f>
        <v>48.746606126788976</v>
      </c>
      <c r="I17" s="207">
        <f t="shared" si="3"/>
        <v>48.746606126788976</v>
      </c>
      <c r="J17" s="207">
        <f t="shared" ref="J17:L17" si="14">I17</f>
        <v>48.746606126788976</v>
      </c>
      <c r="K17" s="207">
        <f t="shared" si="14"/>
        <v>48.746606126788976</v>
      </c>
      <c r="L17" s="207">
        <f t="shared" si="14"/>
        <v>48.746606126788976</v>
      </c>
    </row>
    <row r="18" spans="2:12" x14ac:dyDescent="0.35">
      <c r="B18" s="137" t="s">
        <v>208</v>
      </c>
      <c r="C18" s="143">
        <f>C158/C28</f>
        <v>1.6227788482123744E-2</v>
      </c>
      <c r="D18" s="143">
        <f>D158/D28</f>
        <v>1.8919499384969833E-2</v>
      </c>
      <c r="E18" s="143">
        <f>E158/E28</f>
        <v>1.5809353218332621E-2</v>
      </c>
      <c r="F18" s="143">
        <f>F158/F28</f>
        <v>9.2854520719514565E-3</v>
      </c>
      <c r="G18" s="143">
        <f>G158/G28</f>
        <v>1.4742014742014743E-2</v>
      </c>
      <c r="H18" s="208">
        <f>Notes!C41</f>
        <v>1.4996821579878481E-2</v>
      </c>
      <c r="I18" s="208">
        <f t="shared" si="3"/>
        <v>1.4996821579878481E-2</v>
      </c>
      <c r="J18" s="208">
        <f t="shared" ref="J18:L18" si="15">I18</f>
        <v>1.4996821579878481E-2</v>
      </c>
      <c r="K18" s="208">
        <f t="shared" si="15"/>
        <v>1.4996821579878481E-2</v>
      </c>
      <c r="L18" s="208">
        <f t="shared" si="15"/>
        <v>1.4996821579878481E-2</v>
      </c>
    </row>
    <row r="19" spans="2:12" x14ac:dyDescent="0.35">
      <c r="B19" s="137" t="s">
        <v>185</v>
      </c>
      <c r="C19" s="184">
        <f>C127</f>
        <v>15</v>
      </c>
      <c r="D19" s="184">
        <f t="shared" ref="D19:L19" si="16">D127</f>
        <v>-504</v>
      </c>
      <c r="E19" s="184">
        <f t="shared" si="16"/>
        <v>0</v>
      </c>
      <c r="F19" s="184">
        <f t="shared" si="16"/>
        <v>-1000</v>
      </c>
      <c r="G19" s="184">
        <f t="shared" si="16"/>
        <v>0</v>
      </c>
      <c r="H19" s="209">
        <f t="shared" si="16"/>
        <v>-2000</v>
      </c>
      <c r="I19" s="209">
        <f t="shared" si="16"/>
        <v>0</v>
      </c>
      <c r="J19" s="209">
        <f t="shared" si="16"/>
        <v>0</v>
      </c>
      <c r="K19" s="209">
        <f t="shared" si="16"/>
        <v>-1500</v>
      </c>
      <c r="L19" s="209">
        <f t="shared" si="16"/>
        <v>0</v>
      </c>
    </row>
    <row r="20" spans="2:12" x14ac:dyDescent="0.35">
      <c r="B20" s="137" t="s">
        <v>186</v>
      </c>
      <c r="C20" s="159">
        <f>C128</f>
        <v>-2863</v>
      </c>
      <c r="D20" s="159">
        <f t="shared" ref="D20:L20" si="17">D128</f>
        <v>-4829</v>
      </c>
      <c r="E20" s="159">
        <f t="shared" si="17"/>
        <v>-3583</v>
      </c>
      <c r="F20" s="159">
        <f t="shared" si="17"/>
        <v>-2434</v>
      </c>
      <c r="G20" s="159">
        <f t="shared" si="17"/>
        <v>208</v>
      </c>
      <c r="H20" s="210">
        <f t="shared" si="17"/>
        <v>-750</v>
      </c>
      <c r="I20" s="210">
        <f t="shared" si="17"/>
        <v>-750</v>
      </c>
      <c r="J20" s="210">
        <f t="shared" si="17"/>
        <v>-750</v>
      </c>
      <c r="K20" s="210">
        <f t="shared" si="17"/>
        <v>-750</v>
      </c>
      <c r="L20" s="210">
        <f t="shared" si="17"/>
        <v>-750</v>
      </c>
    </row>
    <row r="21" spans="2:12" x14ac:dyDescent="0.35">
      <c r="B21" s="137" t="s">
        <v>187</v>
      </c>
      <c r="C21" s="142">
        <v>365</v>
      </c>
      <c r="D21" s="142">
        <v>365</v>
      </c>
      <c r="E21" s="142">
        <v>365</v>
      </c>
      <c r="F21" s="142">
        <v>365</v>
      </c>
      <c r="G21" s="142">
        <v>365</v>
      </c>
      <c r="H21" s="211">
        <v>365</v>
      </c>
      <c r="I21" s="211">
        <v>365</v>
      </c>
      <c r="J21" s="211">
        <v>365</v>
      </c>
      <c r="K21" s="211">
        <v>365</v>
      </c>
      <c r="L21" s="211">
        <v>365</v>
      </c>
    </row>
    <row r="22" spans="2:12" x14ac:dyDescent="0.35">
      <c r="B22" s="1"/>
      <c r="C22" s="13"/>
      <c r="D22" s="13"/>
      <c r="E22" s="13"/>
      <c r="F22" s="13"/>
      <c r="G22" s="13"/>
    </row>
    <row r="23" spans="2:12" x14ac:dyDescent="0.35">
      <c r="B23" s="1"/>
      <c r="C23" s="13"/>
      <c r="D23" s="13"/>
      <c r="E23" s="13"/>
      <c r="F23" s="13"/>
      <c r="G23" s="13"/>
    </row>
    <row r="24" spans="2:12" x14ac:dyDescent="0.35">
      <c r="B24" s="1"/>
      <c r="C24" s="13"/>
      <c r="D24" s="13"/>
      <c r="E24" s="13"/>
      <c r="F24" s="13"/>
      <c r="G24" s="13"/>
    </row>
    <row r="25" spans="2:12" x14ac:dyDescent="0.35">
      <c r="B25" s="43" t="s">
        <v>89</v>
      </c>
      <c r="C25" s="254" t="s">
        <v>55</v>
      </c>
      <c r="D25" s="254"/>
      <c r="E25" s="254"/>
      <c r="F25" s="254"/>
      <c r="G25" s="255"/>
      <c r="H25" s="257" t="s">
        <v>80</v>
      </c>
      <c r="I25" s="258"/>
      <c r="J25" s="258"/>
      <c r="K25" s="258"/>
      <c r="L25" s="258"/>
    </row>
    <row r="26" spans="2:12" x14ac:dyDescent="0.35">
      <c r="B26" s="36" t="s">
        <v>236</v>
      </c>
      <c r="C26" s="37" t="s">
        <v>0</v>
      </c>
      <c r="D26" s="37" t="s">
        <v>1</v>
      </c>
      <c r="E26" s="37" t="s">
        <v>2</v>
      </c>
      <c r="F26" s="37" t="s">
        <v>3</v>
      </c>
      <c r="G26" s="37" t="s">
        <v>4</v>
      </c>
      <c r="H26" s="37" t="s">
        <v>49</v>
      </c>
      <c r="I26" s="37" t="s">
        <v>50</v>
      </c>
      <c r="J26" s="37" t="s">
        <v>51</v>
      </c>
      <c r="K26" s="37" t="s">
        <v>52</v>
      </c>
      <c r="L26" s="37" t="s">
        <v>56</v>
      </c>
    </row>
    <row r="27" spans="2:12" x14ac:dyDescent="0.35">
      <c r="B27" s="6"/>
      <c r="C27" s="7"/>
      <c r="D27" s="7"/>
      <c r="E27" s="7"/>
      <c r="F27" s="7"/>
      <c r="G27" s="7"/>
      <c r="H27" s="70"/>
      <c r="I27" s="70"/>
      <c r="J27" s="70"/>
      <c r="K27" s="70"/>
      <c r="L27" s="70"/>
    </row>
    <row r="28" spans="2:12" x14ac:dyDescent="0.35">
      <c r="B28" s="6" t="s">
        <v>5</v>
      </c>
      <c r="C28" s="7">
        <v>46710</v>
      </c>
      <c r="D28" s="7">
        <v>51217</v>
      </c>
      <c r="E28" s="7">
        <v>51362</v>
      </c>
      <c r="F28" s="7">
        <v>46309</v>
      </c>
      <c r="G28" s="7">
        <v>46398</v>
      </c>
      <c r="H28" s="18">
        <f>Revenue_Build!H16</f>
        <v>42952.270000000004</v>
      </c>
      <c r="I28" s="18">
        <f>Revenue_Build!I16</f>
        <v>44027.854100000004</v>
      </c>
      <c r="J28" s="18">
        <f>Revenue_Build!J16</f>
        <v>46085.685123499999</v>
      </c>
      <c r="K28" s="18">
        <f>Revenue_Build!K16</f>
        <v>48244.808434647501</v>
      </c>
      <c r="L28" s="18">
        <f>Revenue_Build!L16</f>
        <v>50510.323156063292</v>
      </c>
    </row>
    <row r="29" spans="2:12" x14ac:dyDescent="0.35">
      <c r="B29" s="10" t="s">
        <v>59</v>
      </c>
      <c r="C29" s="16" t="s">
        <v>60</v>
      </c>
      <c r="D29" s="16">
        <f>(D28-C28)/C28</f>
        <v>9.6488974523656609E-2</v>
      </c>
      <c r="E29" s="16">
        <f t="shared" ref="E29:G29" si="18">(E28-D28)/D28</f>
        <v>2.8310912392369722E-3</v>
      </c>
      <c r="F29" s="16">
        <f t="shared" si="18"/>
        <v>-9.8380125384525521E-2</v>
      </c>
      <c r="G29" s="16">
        <f t="shared" si="18"/>
        <v>1.9218726381480921E-3</v>
      </c>
      <c r="H29" s="16">
        <f>(H28-G28)/G28</f>
        <v>-7.4264623475149699E-2</v>
      </c>
      <c r="I29" s="16">
        <f t="shared" ref="I29" si="19">(I28-H28)/H28</f>
        <v>2.5041379652344334E-2</v>
      </c>
      <c r="J29" s="16">
        <f t="shared" ref="J29" si="20">(J28-I28)/I28</f>
        <v>4.6739298690916559E-2</v>
      </c>
      <c r="K29" s="16">
        <f t="shared" ref="K29" si="21">(K28-J28)/J28</f>
        <v>4.6850194487973916E-2</v>
      </c>
      <c r="L29" s="16">
        <f t="shared" ref="L29" si="22">(L28-K28)/K28</f>
        <v>4.6958725610542353E-2</v>
      </c>
    </row>
    <row r="30" spans="2:12" x14ac:dyDescent="0.35">
      <c r="B30" s="8" t="s">
        <v>193</v>
      </c>
      <c r="C30" s="14">
        <v>25231</v>
      </c>
      <c r="D30" s="14">
        <v>28925</v>
      </c>
      <c r="E30" s="14">
        <v>28475</v>
      </c>
      <c r="F30" s="14">
        <v>26519</v>
      </c>
      <c r="G30" s="14">
        <v>26487</v>
      </c>
      <c r="H30" s="118">
        <f>H28-H31</f>
        <v>24077.609476918886</v>
      </c>
      <c r="I30" s="118">
        <f t="shared" ref="I30:L30" si="23">I28-I31</f>
        <v>24680.546036951295</v>
      </c>
      <c r="J30" s="118">
        <f t="shared" si="23"/>
        <v>25834.097450027279</v>
      </c>
      <c r="K30" s="118">
        <f t="shared" si="23"/>
        <v>27044.429939982325</v>
      </c>
      <c r="L30" s="118">
        <f t="shared" si="23"/>
        <v>28314.401904827493</v>
      </c>
    </row>
    <row r="31" spans="2:12" x14ac:dyDescent="0.35">
      <c r="B31" s="9" t="s">
        <v>6</v>
      </c>
      <c r="C31" s="15">
        <f>C28-C30</f>
        <v>21479</v>
      </c>
      <c r="D31" s="15">
        <f>D28-D30</f>
        <v>22292</v>
      </c>
      <c r="E31" s="15">
        <f>E28-E30</f>
        <v>22887</v>
      </c>
      <c r="F31" s="15">
        <f>F28-F30</f>
        <v>19790</v>
      </c>
      <c r="G31" s="15">
        <f>G28-G30</f>
        <v>19911</v>
      </c>
      <c r="H31" s="15">
        <f>H28*H32</f>
        <v>18874.660523081118</v>
      </c>
      <c r="I31" s="15">
        <f t="shared" ref="I31:L31" si="24">I28*I32</f>
        <v>19347.308063048709</v>
      </c>
      <c r="J31" s="15">
        <f t="shared" si="24"/>
        <v>20251.587673472721</v>
      </c>
      <c r="K31" s="15">
        <f t="shared" si="24"/>
        <v>21200.378494665176</v>
      </c>
      <c r="L31" s="15">
        <f t="shared" si="24"/>
        <v>22195.921251235799</v>
      </c>
    </row>
    <row r="32" spans="2:12" x14ac:dyDescent="0.35">
      <c r="B32" s="10" t="s">
        <v>57</v>
      </c>
      <c r="C32" s="16">
        <f>C31/C28</f>
        <v>0.45983729394134021</v>
      </c>
      <c r="D32" s="16">
        <f t="shared" ref="D32:G32" si="25">D31/D28</f>
        <v>0.43524610969014194</v>
      </c>
      <c r="E32" s="16">
        <f t="shared" si="25"/>
        <v>0.44560180678322497</v>
      </c>
      <c r="F32" s="16">
        <f t="shared" si="25"/>
        <v>0.42734673605562634</v>
      </c>
      <c r="G32" s="16">
        <f t="shared" si="25"/>
        <v>0.42913487650329757</v>
      </c>
      <c r="H32" s="87">
        <f>Notes!$C$34</f>
        <v>0.43943336459472615</v>
      </c>
      <c r="I32" s="87">
        <f>H32</f>
        <v>0.43943336459472615</v>
      </c>
      <c r="J32" s="87">
        <f>I32</f>
        <v>0.43943336459472615</v>
      </c>
      <c r="K32" s="87">
        <f>J32</f>
        <v>0.43943336459472615</v>
      </c>
      <c r="L32" s="87">
        <f>K32</f>
        <v>0.43943336459472615</v>
      </c>
    </row>
    <row r="33" spans="2:12" x14ac:dyDescent="0.35">
      <c r="B33" s="150" t="s">
        <v>192</v>
      </c>
      <c r="C33" s="152"/>
      <c r="D33" s="152"/>
      <c r="E33" s="152"/>
      <c r="F33" s="152"/>
      <c r="G33" s="152"/>
      <c r="H33" s="153"/>
      <c r="I33" s="153"/>
      <c r="J33" s="153"/>
      <c r="K33" s="153"/>
      <c r="L33" s="132"/>
    </row>
    <row r="34" spans="2:12" x14ac:dyDescent="0.35">
      <c r="B34" s="11" t="s">
        <v>7</v>
      </c>
      <c r="C34" s="17">
        <v>3850</v>
      </c>
      <c r="D34" s="17">
        <v>4060</v>
      </c>
      <c r="E34" s="17">
        <v>4285</v>
      </c>
      <c r="F34" s="17">
        <v>4689</v>
      </c>
      <c r="G34" s="17">
        <v>4754</v>
      </c>
      <c r="H34" s="119">
        <f>H28*H10</f>
        <v>4375.0307868641103</v>
      </c>
      <c r="I34" s="119">
        <f>I28*I10</f>
        <v>4484.5875937886685</v>
      </c>
      <c r="J34" s="119">
        <f>J28*J10</f>
        <v>4694.194072840336</v>
      </c>
      <c r="K34" s="119">
        <f>K28*K10</f>
        <v>4914.1179781172004</v>
      </c>
      <c r="L34" s="119">
        <f>L28*L10</f>
        <v>5144.8786958694391</v>
      </c>
    </row>
    <row r="35" spans="2:12" x14ac:dyDescent="0.35">
      <c r="B35" s="8" t="s">
        <v>8</v>
      </c>
      <c r="C35" s="14">
        <v>10954</v>
      </c>
      <c r="D35" s="14">
        <v>12317</v>
      </c>
      <c r="E35" s="14">
        <v>12291</v>
      </c>
      <c r="F35" s="14">
        <v>11399</v>
      </c>
      <c r="G35" s="14">
        <v>11360</v>
      </c>
      <c r="H35" s="118">
        <f>H28*H11</f>
        <v>10544.54595688655</v>
      </c>
      <c r="I35" s="118">
        <f>I28*I11</f>
        <v>10808.595935454538</v>
      </c>
      <c r="J35" s="118">
        <f>J28*J11</f>
        <v>11313.782129311174</v>
      </c>
      <c r="K35" s="118">
        <f>K28*K11</f>
        <v>11843.835022463967</v>
      </c>
      <c r="L35" s="118">
        <f>L28*L11</f>
        <v>12400.006421460383</v>
      </c>
    </row>
    <row r="36" spans="2:12" x14ac:dyDescent="0.35">
      <c r="B36" s="9" t="s">
        <v>9</v>
      </c>
      <c r="C36" s="15">
        <f>C34+C35</f>
        <v>14804</v>
      </c>
      <c r="D36" s="15">
        <f>D34+D35</f>
        <v>16377</v>
      </c>
      <c r="E36" s="15">
        <f>E34+E35</f>
        <v>16576</v>
      </c>
      <c r="F36" s="15">
        <f>F34+F35</f>
        <v>16088</v>
      </c>
      <c r="G36" s="15">
        <f>G34+G35</f>
        <v>16114</v>
      </c>
      <c r="H36" s="15">
        <f t="shared" ref="H36:L36" si="26">H34+H35</f>
        <v>14919.57674375066</v>
      </c>
      <c r="I36" s="15">
        <f t="shared" si="26"/>
        <v>15293.183529243206</v>
      </c>
      <c r="J36" s="15">
        <f t="shared" si="26"/>
        <v>16007.976202151509</v>
      </c>
      <c r="K36" s="15">
        <f t="shared" si="26"/>
        <v>16757.953000581168</v>
      </c>
      <c r="L36" s="15">
        <f t="shared" si="26"/>
        <v>17544.885117329821</v>
      </c>
    </row>
    <row r="37" spans="2:12" x14ac:dyDescent="0.35">
      <c r="B37" s="10" t="s">
        <v>58</v>
      </c>
      <c r="C37" s="16">
        <f>C36/C28</f>
        <v>0.31693427531577822</v>
      </c>
      <c r="D37" s="16">
        <f t="shared" ref="D37:L37" si="27">D36/D28</f>
        <v>0.31975711189644063</v>
      </c>
      <c r="E37" s="16">
        <f t="shared" si="27"/>
        <v>0.32272886569837622</v>
      </c>
      <c r="F37" s="16">
        <f t="shared" si="27"/>
        <v>0.34740547193850008</v>
      </c>
      <c r="G37" s="16">
        <f t="shared" si="27"/>
        <v>0.34729945256261047</v>
      </c>
      <c r="H37" s="16">
        <f t="shared" si="27"/>
        <v>0.34735246225055527</v>
      </c>
      <c r="I37" s="16">
        <f t="shared" si="27"/>
        <v>0.34735246225055527</v>
      </c>
      <c r="J37" s="16">
        <f t="shared" si="27"/>
        <v>0.34735246225055522</v>
      </c>
      <c r="K37" s="16">
        <f t="shared" si="27"/>
        <v>0.34735246225055533</v>
      </c>
      <c r="L37" s="16">
        <f t="shared" si="27"/>
        <v>0.34735246225055522</v>
      </c>
    </row>
    <row r="38" spans="2:12" ht="7" customHeight="1" x14ac:dyDescent="0.35">
      <c r="B38" s="10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2:12" x14ac:dyDescent="0.35">
      <c r="B39" s="154" t="s">
        <v>62</v>
      </c>
      <c r="C39" s="155">
        <f>C31-C36</f>
        <v>6675</v>
      </c>
      <c r="D39" s="155">
        <f>D31-D36</f>
        <v>5915</v>
      </c>
      <c r="E39" s="155">
        <f>E31-E36</f>
        <v>6311</v>
      </c>
      <c r="F39" s="155">
        <f>F31-F36</f>
        <v>3702</v>
      </c>
      <c r="G39" s="155">
        <f>G31-G36</f>
        <v>3797</v>
      </c>
      <c r="H39" s="155">
        <f t="shared" ref="H39:L39" si="28">H31-H36</f>
        <v>3955.0837793304581</v>
      </c>
      <c r="I39" s="155">
        <f t="shared" si="28"/>
        <v>4054.1245338055032</v>
      </c>
      <c r="J39" s="155">
        <f t="shared" si="28"/>
        <v>4243.6114713212119</v>
      </c>
      <c r="K39" s="155">
        <f t="shared" si="28"/>
        <v>4442.4254940840074</v>
      </c>
      <c r="L39" s="155">
        <f t="shared" si="28"/>
        <v>4651.0361339059782</v>
      </c>
    </row>
    <row r="40" spans="2:12" x14ac:dyDescent="0.35">
      <c r="B40" s="10" t="s">
        <v>64</v>
      </c>
      <c r="C40" s="16">
        <f>C39/C28</f>
        <v>0.14290301862556198</v>
      </c>
      <c r="D40" s="16">
        <f t="shared" ref="D40:L40" si="29">D39/D28</f>
        <v>0.11548899779370131</v>
      </c>
      <c r="E40" s="16">
        <f t="shared" si="29"/>
        <v>0.12287294108484872</v>
      </c>
      <c r="F40" s="16">
        <f t="shared" si="29"/>
        <v>7.9941264117126265E-2</v>
      </c>
      <c r="G40" s="16">
        <f t="shared" si="29"/>
        <v>8.1835423940687102E-2</v>
      </c>
      <c r="H40" s="16">
        <f t="shared" si="29"/>
        <v>9.2080902344170809E-2</v>
      </c>
      <c r="I40" s="16">
        <f t="shared" si="29"/>
        <v>9.2080902344170865E-2</v>
      </c>
      <c r="J40" s="16">
        <f t="shared" si="29"/>
        <v>9.2080902344170878E-2</v>
      </c>
      <c r="K40" s="16">
        <f t="shared" si="29"/>
        <v>9.2080902344170865E-2</v>
      </c>
      <c r="L40" s="16">
        <f t="shared" si="29"/>
        <v>9.2080902344170906E-2</v>
      </c>
    </row>
    <row r="41" spans="2:12" x14ac:dyDescent="0.35">
      <c r="B41" s="11" t="s">
        <v>10</v>
      </c>
      <c r="C41" s="17">
        <v>205</v>
      </c>
      <c r="D41" s="17">
        <v>-6</v>
      </c>
      <c r="E41" s="17">
        <v>-161</v>
      </c>
      <c r="F41" s="17">
        <v>-107</v>
      </c>
      <c r="G41" s="17">
        <v>-50</v>
      </c>
      <c r="H41" s="184">
        <f>H166</f>
        <v>-38.465902031063308</v>
      </c>
      <c r="I41" s="184">
        <f t="shared" ref="I41:L41" si="30">I166</f>
        <v>-107.48636080238731</v>
      </c>
      <c r="J41" s="184">
        <f t="shared" si="30"/>
        <v>-135.77838794296355</v>
      </c>
      <c r="K41" s="184">
        <f t="shared" si="30"/>
        <v>-167.11696372087124</v>
      </c>
      <c r="L41" s="184">
        <f t="shared" si="30"/>
        <v>-206.77190996935272</v>
      </c>
    </row>
    <row r="42" spans="2:12" x14ac:dyDescent="0.35">
      <c r="B42" s="11" t="s">
        <v>11</v>
      </c>
      <c r="C42" s="17">
        <v>-181</v>
      </c>
      <c r="D42" s="17">
        <v>-280</v>
      </c>
      <c r="E42" s="17">
        <v>-228</v>
      </c>
      <c r="F42" s="17">
        <v>-76</v>
      </c>
      <c r="G42" s="17">
        <v>-53</v>
      </c>
      <c r="H42" s="70">
        <f>Notes!$C$37</f>
        <v>0</v>
      </c>
      <c r="I42" s="70">
        <f>H42</f>
        <v>0</v>
      </c>
      <c r="J42" s="70">
        <f t="shared" ref="J42:L42" si="31">I42</f>
        <v>0</v>
      </c>
      <c r="K42" s="70">
        <f t="shared" si="31"/>
        <v>0</v>
      </c>
      <c r="L42" s="70">
        <f t="shared" si="31"/>
        <v>0</v>
      </c>
    </row>
    <row r="43" spans="2:12" ht="6.5" customHeight="1" x14ac:dyDescent="0.35">
      <c r="B43" s="11"/>
      <c r="C43" s="17"/>
      <c r="D43" s="17"/>
      <c r="E43" s="17"/>
      <c r="F43" s="17"/>
      <c r="G43" s="17"/>
      <c r="H43" s="70"/>
      <c r="I43" s="70"/>
      <c r="J43" s="70"/>
      <c r="K43" s="70"/>
      <c r="L43" s="70"/>
    </row>
    <row r="44" spans="2:12" x14ac:dyDescent="0.35">
      <c r="B44" s="154" t="s">
        <v>12</v>
      </c>
      <c r="C44" s="155">
        <f>C31-C36-C41-C42</f>
        <v>6651</v>
      </c>
      <c r="D44" s="155">
        <f>D31-D36-D41-D42</f>
        <v>6201</v>
      </c>
      <c r="E44" s="155">
        <f>E31-E36-E41-E42</f>
        <v>6700</v>
      </c>
      <c r="F44" s="155">
        <f>F31-F36-F41-F42</f>
        <v>3885</v>
      </c>
      <c r="G44" s="155">
        <f>G31-G36-G41-G42</f>
        <v>3900</v>
      </c>
      <c r="H44" s="155">
        <f t="shared" ref="H44:L44" si="32">H31-H36-H41-H42</f>
        <v>3993.5496813615214</v>
      </c>
      <c r="I44" s="155">
        <f t="shared" si="32"/>
        <v>4161.6108946078903</v>
      </c>
      <c r="J44" s="155">
        <f t="shared" si="32"/>
        <v>4379.3898592641754</v>
      </c>
      <c r="K44" s="155">
        <f t="shared" si="32"/>
        <v>4609.5424578048787</v>
      </c>
      <c r="L44" s="155">
        <f t="shared" si="32"/>
        <v>4857.8080438753314</v>
      </c>
    </row>
    <row r="45" spans="2:12" s="4" customFormat="1" x14ac:dyDescent="0.35">
      <c r="B45" s="11"/>
      <c r="C45" s="17"/>
      <c r="D45" s="17"/>
      <c r="E45" s="17"/>
      <c r="F45" s="17"/>
      <c r="G45" s="17"/>
      <c r="H45" s="119"/>
      <c r="I45" s="119"/>
      <c r="J45" s="119"/>
      <c r="K45" s="119"/>
      <c r="L45" s="119"/>
    </row>
    <row r="46" spans="2:12" s="4" customFormat="1" x14ac:dyDescent="0.35">
      <c r="B46" s="11" t="s">
        <v>13</v>
      </c>
      <c r="C46" s="17">
        <v>605</v>
      </c>
      <c r="D46" s="17">
        <v>1131</v>
      </c>
      <c r="E46" s="17">
        <v>1000</v>
      </c>
      <c r="F46" s="17">
        <v>666</v>
      </c>
      <c r="G46" s="17">
        <v>792</v>
      </c>
      <c r="H46" s="119">
        <f>H44*H47</f>
        <v>810.99778144572429</v>
      </c>
      <c r="I46" s="119">
        <f>I44*I47</f>
        <v>845.12713552037155</v>
      </c>
      <c r="J46" s="119">
        <f>J44*J47</f>
        <v>889.35301757364789</v>
      </c>
      <c r="K46" s="119">
        <f>K44*K47</f>
        <v>936.09169912345226</v>
      </c>
      <c r="L46" s="119">
        <f>L44*L47</f>
        <v>986.50871044852875</v>
      </c>
    </row>
    <row r="47" spans="2:12" x14ac:dyDescent="0.35">
      <c r="B47" s="10" t="s">
        <v>63</v>
      </c>
      <c r="C47" s="16">
        <f>C46/C44</f>
        <v>9.0963764847391368E-2</v>
      </c>
      <c r="D47" s="16">
        <f>D46/D44</f>
        <v>0.18238993710691823</v>
      </c>
      <c r="E47" s="16">
        <f>E46/E44</f>
        <v>0.14925373134328357</v>
      </c>
      <c r="F47" s="16">
        <f>F46/F44</f>
        <v>0.17142857142857143</v>
      </c>
      <c r="G47" s="16">
        <f>G46/G44</f>
        <v>0.20307692307692307</v>
      </c>
      <c r="H47" s="16">
        <f>H14</f>
        <v>0.20307692307692307</v>
      </c>
      <c r="I47" s="16">
        <f>I14</f>
        <v>0.20307692307692307</v>
      </c>
      <c r="J47" s="16">
        <f>J14</f>
        <v>0.20307692307692307</v>
      </c>
      <c r="K47" s="16">
        <f>K14</f>
        <v>0.20307692307692307</v>
      </c>
      <c r="L47" s="16">
        <f>L14</f>
        <v>0.20307692307692307</v>
      </c>
    </row>
    <row r="48" spans="2:12" ht="8" customHeight="1" thickBot="1" x14ac:dyDescent="0.4">
      <c r="B48" s="10"/>
      <c r="C48" s="16"/>
      <c r="D48" s="16"/>
      <c r="E48" s="16"/>
      <c r="F48" s="16"/>
      <c r="G48" s="16"/>
      <c r="H48" s="120"/>
      <c r="I48" s="120"/>
      <c r="J48" s="120"/>
      <c r="K48" s="120"/>
    </row>
    <row r="49" spans="2:12" ht="15" thickTop="1" x14ac:dyDescent="0.35">
      <c r="B49" s="24" t="s">
        <v>61</v>
      </c>
      <c r="C49" s="25">
        <f t="shared" ref="C49:L49" si="33">C44-C46</f>
        <v>6046</v>
      </c>
      <c r="D49" s="25">
        <f t="shared" si="33"/>
        <v>5070</v>
      </c>
      <c r="E49" s="25">
        <f t="shared" si="33"/>
        <v>5700</v>
      </c>
      <c r="F49" s="25">
        <f t="shared" si="33"/>
        <v>3219</v>
      </c>
      <c r="G49" s="25">
        <f t="shared" si="33"/>
        <v>3108</v>
      </c>
      <c r="H49" s="25">
        <f t="shared" si="33"/>
        <v>3182.5518999157971</v>
      </c>
      <c r="I49" s="25">
        <f t="shared" si="33"/>
        <v>3316.4837590875186</v>
      </c>
      <c r="J49" s="25">
        <f t="shared" si="33"/>
        <v>3490.0368416905276</v>
      </c>
      <c r="K49" s="25">
        <f t="shared" si="33"/>
        <v>3673.4507586814266</v>
      </c>
      <c r="L49" s="25">
        <f t="shared" si="33"/>
        <v>3871.2993334268026</v>
      </c>
    </row>
    <row r="50" spans="2:12" x14ac:dyDescent="0.35">
      <c r="B50" s="10" t="s">
        <v>65</v>
      </c>
      <c r="C50" s="16">
        <f t="shared" ref="C50:L50" si="34">C49/C28</f>
        <v>0.12943695140226932</v>
      </c>
      <c r="D50" s="16">
        <f t="shared" si="34"/>
        <v>9.8990569537458259E-2</v>
      </c>
      <c r="E50" s="16">
        <f t="shared" si="34"/>
        <v>0.11097698687745804</v>
      </c>
      <c r="F50" s="16">
        <f t="shared" si="34"/>
        <v>6.9511326092120324E-2</v>
      </c>
      <c r="G50" s="16">
        <f t="shared" si="34"/>
        <v>6.6985645933014357E-2</v>
      </c>
      <c r="H50" s="16">
        <f t="shared" si="34"/>
        <v>7.4095080421030066E-2</v>
      </c>
      <c r="I50" s="16">
        <f t="shared" si="34"/>
        <v>7.5326945336804826E-2</v>
      </c>
      <c r="J50" s="16">
        <f t="shared" si="34"/>
        <v>7.572930362948839E-2</v>
      </c>
      <c r="K50" s="16">
        <f t="shared" si="34"/>
        <v>7.61418871350166E-2</v>
      </c>
      <c r="L50" s="16">
        <f t="shared" si="34"/>
        <v>7.6643725312655994E-2</v>
      </c>
    </row>
    <row r="51" spans="2:12" x14ac:dyDescent="0.35">
      <c r="B51" s="1"/>
      <c r="C51" s="13"/>
      <c r="D51" s="13"/>
      <c r="E51" s="13"/>
      <c r="F51" s="13"/>
      <c r="G51" s="13"/>
    </row>
    <row r="52" spans="2:12" x14ac:dyDescent="0.35">
      <c r="B52" s="28" t="s">
        <v>14</v>
      </c>
      <c r="C52" s="29"/>
      <c r="D52" s="29"/>
      <c r="E52" s="29"/>
      <c r="F52" s="29"/>
      <c r="G52" s="29"/>
      <c r="H52" s="45"/>
      <c r="I52" s="45"/>
      <c r="J52" s="45"/>
      <c r="K52" s="45"/>
      <c r="L52" s="45"/>
    </row>
    <row r="53" spans="2:12" x14ac:dyDescent="0.35">
      <c r="B53" s="200" t="s">
        <v>15</v>
      </c>
      <c r="C53" s="239">
        <f t="shared" ref="C53:G53" si="35">C49/C55</f>
        <v>3.8294907524702309</v>
      </c>
      <c r="D53" s="239">
        <f t="shared" si="35"/>
        <v>3.2675947409126067</v>
      </c>
      <c r="E53" s="239">
        <f t="shared" si="35"/>
        <v>3.755930416447022</v>
      </c>
      <c r="F53" s="239">
        <f t="shared" si="35"/>
        <v>2.167822749006667</v>
      </c>
      <c r="G53" s="239">
        <f t="shared" si="35"/>
        <v>2.100283822138127</v>
      </c>
      <c r="H53" s="201">
        <f>H49/H55</f>
        <v>2.1615667627803741</v>
      </c>
      <c r="I53" s="201">
        <f t="shared" ref="I53:L53" si="36">I49/I55</f>
        <v>2.2856427097286036</v>
      </c>
      <c r="J53" s="201">
        <f t="shared" si="36"/>
        <v>2.4411340831537749</v>
      </c>
      <c r="K53" s="201">
        <f t="shared" si="36"/>
        <v>2.6083367970562938</v>
      </c>
      <c r="L53" s="201">
        <f t="shared" si="36"/>
        <v>2.7910887041638772</v>
      </c>
    </row>
    <row r="54" spans="2:12" x14ac:dyDescent="0.35">
      <c r="B54" s="200" t="s">
        <v>16</v>
      </c>
      <c r="C54" s="239">
        <f t="shared" ref="C54:H54" si="37">C49/C56</f>
        <v>3.7534144524459898</v>
      </c>
      <c r="D54" s="239">
        <f t="shared" si="37"/>
        <v>3.2297107911835905</v>
      </c>
      <c r="E54" s="239">
        <f t="shared" si="37"/>
        <v>3.7262208276132576</v>
      </c>
      <c r="F54" s="239">
        <f t="shared" si="37"/>
        <v>2.1638881419736489</v>
      </c>
      <c r="G54" s="239">
        <f t="shared" si="37"/>
        <v>2.0985820391627277</v>
      </c>
      <c r="H54" s="201">
        <f t="shared" si="37"/>
        <v>2.1598064524425866</v>
      </c>
      <c r="I54" s="201">
        <f t="shared" ref="I54:L54" si="38">I49/I56</f>
        <v>2.2837540181739473</v>
      </c>
      <c r="J54" s="201">
        <f t="shared" si="38"/>
        <v>2.4390868366819887</v>
      </c>
      <c r="K54" s="201">
        <f t="shared" si="38"/>
        <v>2.6061162270367868</v>
      </c>
      <c r="L54" s="201">
        <f t="shared" si="38"/>
        <v>2.7886760437514679</v>
      </c>
    </row>
    <row r="55" spans="2:12" x14ac:dyDescent="0.35">
      <c r="B55" s="149" t="s">
        <v>66</v>
      </c>
      <c r="C55" s="202">
        <v>1578.8</v>
      </c>
      <c r="D55" s="202">
        <v>1551.6</v>
      </c>
      <c r="E55" s="202">
        <v>1517.6</v>
      </c>
      <c r="F55" s="202">
        <v>1484.9</v>
      </c>
      <c r="G55" s="202">
        <v>1479.8</v>
      </c>
      <c r="H55" s="185">
        <f>AVERAGE(G58,H58)</f>
        <v>1472.3356940509916</v>
      </c>
      <c r="I55" s="185">
        <f t="shared" ref="I55:L55" si="39">AVERAGE(H58,I58)</f>
        <v>1451.0070821529744</v>
      </c>
      <c r="J55" s="185">
        <f t="shared" si="39"/>
        <v>1429.6784702549576</v>
      </c>
      <c r="K55" s="185">
        <f t="shared" si="39"/>
        <v>1408.3498583569403</v>
      </c>
      <c r="L55" s="185">
        <f t="shared" si="39"/>
        <v>1387.0212464589235</v>
      </c>
    </row>
    <row r="56" spans="2:12" x14ac:dyDescent="0.35">
      <c r="B56" s="149" t="s">
        <v>67</v>
      </c>
      <c r="C56" s="202">
        <v>1610.8</v>
      </c>
      <c r="D56" s="202">
        <v>1569.8</v>
      </c>
      <c r="E56" s="202">
        <v>1529.7</v>
      </c>
      <c r="F56" s="202">
        <v>1487.6</v>
      </c>
      <c r="G56" s="202">
        <v>1481</v>
      </c>
      <c r="H56" s="185">
        <f>H55+Notes!$C$66</f>
        <v>1473.5356940509917</v>
      </c>
      <c r="I56" s="185">
        <f>I55+Notes!$C$66</f>
        <v>1452.2070821529744</v>
      </c>
      <c r="J56" s="185">
        <f>J55+Notes!$C$66</f>
        <v>1430.8784702549576</v>
      </c>
      <c r="K56" s="185">
        <f>K55+Notes!$C$66</f>
        <v>1409.5498583569404</v>
      </c>
      <c r="L56" s="185">
        <f>L55+Notes!$C$66</f>
        <v>1388.2212464589236</v>
      </c>
    </row>
    <row r="57" spans="2:12" x14ac:dyDescent="0.35">
      <c r="B57" s="149" t="s">
        <v>17</v>
      </c>
      <c r="C57" s="203">
        <v>1.19</v>
      </c>
      <c r="D57" s="203">
        <v>1.325</v>
      </c>
      <c r="E57" s="203">
        <v>1.45</v>
      </c>
      <c r="F57" s="203">
        <v>1.57</v>
      </c>
      <c r="G57" s="203">
        <v>1.63</v>
      </c>
      <c r="H57" s="201">
        <f>G57*(1+Notes!$C$61)</f>
        <v>1.6707499999999997</v>
      </c>
      <c r="I57" s="201">
        <f>H57*(1+Notes!$C$61)</f>
        <v>1.7125187499999996</v>
      </c>
      <c r="J57" s="201">
        <f>I57*(1+Notes!$C$61)</f>
        <v>1.7553317187499995</v>
      </c>
      <c r="K57" s="201">
        <f>J57*(1+Notes!$C$61)</f>
        <v>1.7992150117187493</v>
      </c>
      <c r="L57" s="201">
        <f>K57*(1+Notes!$C$61)</f>
        <v>1.8441953870117178</v>
      </c>
    </row>
    <row r="58" spans="2:12" x14ac:dyDescent="0.35">
      <c r="B58" s="195" t="s">
        <v>234</v>
      </c>
      <c r="C58" s="142">
        <v>1571</v>
      </c>
      <c r="D58" s="142">
        <v>1532</v>
      </c>
      <c r="E58" s="142">
        <v>1503</v>
      </c>
      <c r="F58" s="142">
        <v>1476</v>
      </c>
      <c r="G58" s="142">
        <f>Notes!C64</f>
        <v>1483</v>
      </c>
      <c r="H58" s="185">
        <f>G58+Notes!$C$65-Notes!$C$62/Notes!$C$63</f>
        <v>1461.671388101983</v>
      </c>
      <c r="I58" s="185">
        <f>H58+Notes!$C$65-Notes!$C$62/Notes!$C$63</f>
        <v>1440.342776203966</v>
      </c>
      <c r="J58" s="185">
        <f>I58+Notes!$C$65-Notes!$C$62/Notes!$C$63</f>
        <v>1419.014164305949</v>
      </c>
      <c r="K58" s="185">
        <f>J58+Notes!$C$65-Notes!$C$62/Notes!$C$63</f>
        <v>1397.6855524079319</v>
      </c>
      <c r="L58" s="185">
        <f>K58+Notes!$C$65-Notes!$C$62/Notes!$C$63</f>
        <v>1376.3569405099149</v>
      </c>
    </row>
    <row r="59" spans="2:12" x14ac:dyDescent="0.35">
      <c r="B59" s="1"/>
      <c r="C59" s="13"/>
      <c r="D59" s="13"/>
      <c r="E59" s="13"/>
      <c r="F59" s="13"/>
      <c r="G59" s="13"/>
    </row>
    <row r="60" spans="2:12" x14ac:dyDescent="0.35">
      <c r="B60" s="43" t="s">
        <v>89</v>
      </c>
      <c r="C60" s="254" t="s">
        <v>55</v>
      </c>
      <c r="D60" s="254"/>
      <c r="E60" s="254"/>
      <c r="F60" s="254"/>
      <c r="G60" s="255"/>
      <c r="H60" s="256" t="s">
        <v>80</v>
      </c>
      <c r="I60" s="254"/>
      <c r="J60" s="254"/>
      <c r="K60" s="254"/>
      <c r="L60" s="254"/>
    </row>
    <row r="61" spans="2:12" x14ac:dyDescent="0.35">
      <c r="B61" s="36" t="s">
        <v>254</v>
      </c>
      <c r="C61" s="38" t="s">
        <v>0</v>
      </c>
      <c r="D61" s="38" t="s">
        <v>1</v>
      </c>
      <c r="E61" s="38" t="s">
        <v>2</v>
      </c>
      <c r="F61" s="38" t="s">
        <v>3</v>
      </c>
      <c r="G61" s="38" t="s">
        <v>4</v>
      </c>
      <c r="H61" s="38" t="s">
        <v>49</v>
      </c>
      <c r="I61" s="38" t="s">
        <v>50</v>
      </c>
      <c r="J61" s="38" t="s">
        <v>51</v>
      </c>
      <c r="K61" s="38" t="s">
        <v>52</v>
      </c>
      <c r="L61" s="38" t="s">
        <v>56</v>
      </c>
    </row>
    <row r="62" spans="2:12" x14ac:dyDescent="0.35">
      <c r="B62"/>
      <c r="C62"/>
      <c r="D62"/>
      <c r="E62"/>
      <c r="F62"/>
      <c r="G62"/>
    </row>
    <row r="63" spans="2:12" x14ac:dyDescent="0.35">
      <c r="B63" s="28" t="s">
        <v>18</v>
      </c>
      <c r="C63" s="29"/>
      <c r="D63" s="29"/>
      <c r="E63" s="29"/>
      <c r="F63" s="29"/>
      <c r="G63" s="29"/>
      <c r="H63" s="45"/>
      <c r="I63" s="45"/>
      <c r="J63" s="45"/>
      <c r="K63" s="45"/>
      <c r="L63" s="45"/>
    </row>
    <row r="64" spans="2:12" x14ac:dyDescent="0.35">
      <c r="B64" s="137" t="s">
        <v>19</v>
      </c>
      <c r="C64" s="146">
        <v>8574</v>
      </c>
      <c r="D64" s="146">
        <v>7441</v>
      </c>
      <c r="E64" s="146">
        <v>9860</v>
      </c>
      <c r="F64" s="146">
        <v>7464</v>
      </c>
      <c r="G64" s="146">
        <v>7563</v>
      </c>
      <c r="H64" s="184">
        <f>H137</f>
        <v>7257.4481478971966</v>
      </c>
      <c r="I64" s="184">
        <f t="shared" ref="I64:L64" si="40">I137</f>
        <v>7964.7488264116037</v>
      </c>
      <c r="J64" s="184">
        <f t="shared" si="40"/>
        <v>8748.2132208592957</v>
      </c>
      <c r="K64" s="184">
        <f t="shared" si="40"/>
        <v>8216.2893860319055</v>
      </c>
      <c r="L64" s="184">
        <f t="shared" si="40"/>
        <v>9385.505413370809</v>
      </c>
    </row>
    <row r="65" spans="2:12" x14ac:dyDescent="0.35">
      <c r="B65" s="137" t="s">
        <v>20</v>
      </c>
      <c r="C65" s="146">
        <v>4423</v>
      </c>
      <c r="D65" s="146">
        <v>3234</v>
      </c>
      <c r="E65" s="146">
        <v>1722</v>
      </c>
      <c r="F65" s="146">
        <v>1687</v>
      </c>
      <c r="G65" s="146">
        <v>1464</v>
      </c>
      <c r="H65" s="148">
        <f>G65</f>
        <v>1464</v>
      </c>
      <c r="I65" s="148">
        <f t="shared" ref="I65:L65" si="41">H65</f>
        <v>1464</v>
      </c>
      <c r="J65" s="148">
        <f t="shared" si="41"/>
        <v>1464</v>
      </c>
      <c r="K65" s="148">
        <f t="shared" si="41"/>
        <v>1464</v>
      </c>
      <c r="L65" s="148">
        <f t="shared" si="41"/>
        <v>1464</v>
      </c>
    </row>
    <row r="66" spans="2:12" x14ac:dyDescent="0.35">
      <c r="B66" s="137" t="s">
        <v>21</v>
      </c>
      <c r="C66" s="146">
        <v>4667</v>
      </c>
      <c r="D66" s="146">
        <v>4131</v>
      </c>
      <c r="E66" s="146">
        <v>4427</v>
      </c>
      <c r="F66" s="146">
        <v>4717</v>
      </c>
      <c r="G66" s="146">
        <v>5931</v>
      </c>
      <c r="H66" s="147">
        <f>H28*H15/365</f>
        <v>4932.8112592571961</v>
      </c>
      <c r="I66" s="147">
        <f>I28*I15/365</f>
        <v>5056.3356587536146</v>
      </c>
      <c r="J66" s="147">
        <f>J28*J15/365</f>
        <v>5292.6652413896318</v>
      </c>
      <c r="K66" s="147">
        <f>K28*K15/365</f>
        <v>5540.6276373084756</v>
      </c>
      <c r="L66" s="147">
        <f>L28*L15/365</f>
        <v>5800.808450239032</v>
      </c>
    </row>
    <row r="67" spans="2:12" x14ac:dyDescent="0.35">
      <c r="B67" s="137" t="s">
        <v>22</v>
      </c>
      <c r="C67" s="146">
        <v>8420</v>
      </c>
      <c r="D67" s="146">
        <v>8454</v>
      </c>
      <c r="E67" s="146">
        <v>7519</v>
      </c>
      <c r="F67" s="146">
        <v>7489</v>
      </c>
      <c r="G67" s="146">
        <v>7501</v>
      </c>
      <c r="H67" s="147">
        <f>H30*H16/365</f>
        <v>6809.1097617366049</v>
      </c>
      <c r="I67" s="147">
        <f>I30*I16/365</f>
        <v>6979.6192643747345</v>
      </c>
      <c r="J67" s="147">
        <f>J30*J16/365</f>
        <v>7305.8417739212209</v>
      </c>
      <c r="K67" s="147">
        <f>K30*K16/365</f>
        <v>7648.1218819277938</v>
      </c>
      <c r="L67" s="147">
        <f>L30*L16/365</f>
        <v>8007.2679388172264</v>
      </c>
    </row>
    <row r="68" spans="2:12" x14ac:dyDescent="0.35">
      <c r="B68" s="11" t="s">
        <v>23</v>
      </c>
      <c r="C68" s="17">
        <v>2129</v>
      </c>
      <c r="D68" s="17">
        <v>1942</v>
      </c>
      <c r="E68" s="17">
        <v>1854</v>
      </c>
      <c r="F68" s="17">
        <v>2005</v>
      </c>
      <c r="G68" s="17">
        <v>2144</v>
      </c>
      <c r="H68" s="119">
        <f>H28*Notes!$C$48</f>
        <v>1922.2216319548365</v>
      </c>
      <c r="I68" s="119">
        <f>I28*Notes!$C$48</f>
        <v>1970.3567136165666</v>
      </c>
      <c r="J68" s="119">
        <f>J28*Notes!$C$48</f>
        <v>2062.4498045819441</v>
      </c>
      <c r="K68" s="119">
        <f>K28*Notes!$C$48</f>
        <v>2159.0759790482921</v>
      </c>
      <c r="L68" s="119">
        <f>L28*Notes!$C$48</f>
        <v>2260.4634355207336</v>
      </c>
    </row>
    <row r="69" spans="2:12" x14ac:dyDescent="0.35">
      <c r="B69" s="144" t="s">
        <v>24</v>
      </c>
      <c r="C69" s="145">
        <f>SUM(C64:C68)</f>
        <v>28213</v>
      </c>
      <c r="D69" s="145">
        <f>SUM(D64:D68)</f>
        <v>25202</v>
      </c>
      <c r="E69" s="145">
        <f>SUM(E64:E68)</f>
        <v>25382</v>
      </c>
      <c r="F69" s="145">
        <f>SUM(F64:F68)</f>
        <v>23362</v>
      </c>
      <c r="G69" s="145">
        <f>SUM(G64:G68)</f>
        <v>24603</v>
      </c>
      <c r="H69" s="145">
        <f t="shared" ref="H69:L69" si="42">SUM(H64:H68)</f>
        <v>22385.590800845832</v>
      </c>
      <c r="I69" s="145">
        <f t="shared" si="42"/>
        <v>23435.060463156518</v>
      </c>
      <c r="J69" s="145">
        <f t="shared" si="42"/>
        <v>24873.170040752095</v>
      </c>
      <c r="K69" s="145">
        <f t="shared" si="42"/>
        <v>25028.114884316466</v>
      </c>
      <c r="L69" s="145">
        <f t="shared" si="42"/>
        <v>26918.045237947801</v>
      </c>
    </row>
    <row r="70" spans="2:12" x14ac:dyDescent="0.35">
      <c r="B70" s="137" t="s">
        <v>25</v>
      </c>
      <c r="C70" s="146">
        <v>4791</v>
      </c>
      <c r="D70" s="146">
        <v>5081</v>
      </c>
      <c r="E70" s="146">
        <v>5000</v>
      </c>
      <c r="F70" s="146">
        <v>4828</v>
      </c>
      <c r="G70" s="146">
        <v>4796</v>
      </c>
      <c r="H70" s="148">
        <f>H160</f>
        <v>4726.3825580627154</v>
      </c>
      <c r="I70" s="148">
        <f t="shared" ref="I70:L70" si="43">I160</f>
        <v>4655.0217993314545</v>
      </c>
      <c r="J70" s="148">
        <f t="shared" si="43"/>
        <v>4580.325688783043</v>
      </c>
      <c r="K70" s="148">
        <f t="shared" si="43"/>
        <v>4502.1300509279436</v>
      </c>
      <c r="L70" s="148">
        <f t="shared" si="43"/>
        <v>4420.2624455708637</v>
      </c>
    </row>
    <row r="71" spans="2:12" x14ac:dyDescent="0.35">
      <c r="B71" s="137" t="s">
        <v>26</v>
      </c>
      <c r="C71" s="146">
        <v>2926</v>
      </c>
      <c r="D71" s="146">
        <v>2923</v>
      </c>
      <c r="E71" s="146">
        <v>2718</v>
      </c>
      <c r="F71" s="146">
        <v>2712</v>
      </c>
      <c r="G71" s="146">
        <v>2838</v>
      </c>
      <c r="H71" s="148">
        <f>G71</f>
        <v>2838</v>
      </c>
      <c r="I71" s="148">
        <f t="shared" ref="I71:L71" si="44">H71</f>
        <v>2838</v>
      </c>
      <c r="J71" s="148">
        <f t="shared" si="44"/>
        <v>2838</v>
      </c>
      <c r="K71" s="148">
        <f t="shared" si="44"/>
        <v>2838</v>
      </c>
      <c r="L71" s="148">
        <f t="shared" si="44"/>
        <v>2838</v>
      </c>
    </row>
    <row r="72" spans="2:12" x14ac:dyDescent="0.35">
      <c r="B72" s="137" t="s">
        <v>27</v>
      </c>
      <c r="C72" s="146">
        <v>286</v>
      </c>
      <c r="D72" s="146">
        <v>274</v>
      </c>
      <c r="E72" s="146">
        <v>259</v>
      </c>
      <c r="F72" s="146">
        <v>259</v>
      </c>
      <c r="G72" s="146">
        <v>259</v>
      </c>
      <c r="H72" s="148">
        <f>G72</f>
        <v>259</v>
      </c>
      <c r="I72" s="148">
        <f t="shared" ref="I72:L72" si="45">H72</f>
        <v>259</v>
      </c>
      <c r="J72" s="148">
        <f t="shared" si="45"/>
        <v>259</v>
      </c>
      <c r="K72" s="148">
        <f t="shared" si="45"/>
        <v>259</v>
      </c>
      <c r="L72" s="148">
        <f t="shared" si="45"/>
        <v>259</v>
      </c>
    </row>
    <row r="73" spans="2:12" x14ac:dyDescent="0.35">
      <c r="B73" s="137" t="s">
        <v>28</v>
      </c>
      <c r="C73" s="146">
        <v>284</v>
      </c>
      <c r="D73" s="146">
        <v>281</v>
      </c>
      <c r="E73" s="146">
        <v>240</v>
      </c>
      <c r="F73" s="146">
        <v>240</v>
      </c>
      <c r="G73" s="146">
        <v>240</v>
      </c>
      <c r="H73" s="148">
        <f>G73</f>
        <v>240</v>
      </c>
      <c r="I73" s="148">
        <f t="shared" ref="I73:L73" si="46">H73</f>
        <v>240</v>
      </c>
      <c r="J73" s="148">
        <f t="shared" si="46"/>
        <v>240</v>
      </c>
      <c r="K73" s="148">
        <f t="shared" si="46"/>
        <v>240</v>
      </c>
      <c r="L73" s="148">
        <f t="shared" si="46"/>
        <v>240</v>
      </c>
    </row>
    <row r="74" spans="2:12" ht="15" thickBot="1" x14ac:dyDescent="0.4">
      <c r="B74" s="11" t="s">
        <v>29</v>
      </c>
      <c r="C74" s="17">
        <v>3821</v>
      </c>
      <c r="D74" s="17">
        <v>3770</v>
      </c>
      <c r="E74" s="17">
        <v>4511</v>
      </c>
      <c r="F74" s="17">
        <v>5178</v>
      </c>
      <c r="G74" s="17">
        <v>5674</v>
      </c>
      <c r="H74" s="126">
        <f>G74</f>
        <v>5674</v>
      </c>
      <c r="I74" s="126">
        <f t="shared" ref="I74:L74" si="47">H74</f>
        <v>5674</v>
      </c>
      <c r="J74" s="126">
        <f t="shared" si="47"/>
        <v>5674</v>
      </c>
      <c r="K74" s="126">
        <f t="shared" si="47"/>
        <v>5674</v>
      </c>
      <c r="L74" s="126">
        <f t="shared" si="47"/>
        <v>5674</v>
      </c>
    </row>
    <row r="75" spans="2:12" ht="15" thickTop="1" x14ac:dyDescent="0.35">
      <c r="B75" s="24" t="s">
        <v>30</v>
      </c>
      <c r="C75" s="25">
        <f t="shared" ref="C75:H75" si="48">C69+SUM(C70:C74)</f>
        <v>40321</v>
      </c>
      <c r="D75" s="25">
        <f t="shared" si="48"/>
        <v>37531</v>
      </c>
      <c r="E75" s="25">
        <f t="shared" si="48"/>
        <v>38110</v>
      </c>
      <c r="F75" s="25">
        <f t="shared" si="48"/>
        <v>36579</v>
      </c>
      <c r="G75" s="25">
        <f t="shared" si="48"/>
        <v>38410</v>
      </c>
      <c r="H75" s="25">
        <f t="shared" si="48"/>
        <v>36122.973358908552</v>
      </c>
      <c r="I75" s="25">
        <f t="shared" ref="I75:L75" si="49">I69+SUM(I70:I74)</f>
        <v>37101.082262487973</v>
      </c>
      <c r="J75" s="25">
        <f t="shared" si="49"/>
        <v>38464.495729535134</v>
      </c>
      <c r="K75" s="25">
        <f t="shared" si="49"/>
        <v>38541.244935244409</v>
      </c>
      <c r="L75" s="25">
        <f t="shared" si="49"/>
        <v>40349.307683518666</v>
      </c>
    </row>
    <row r="76" spans="2:12" x14ac:dyDescent="0.35">
      <c r="B76" s="6"/>
      <c r="C76" s="18"/>
      <c r="D76" s="18"/>
      <c r="E76" s="18"/>
      <c r="F76" s="18"/>
      <c r="G76" s="18"/>
    </row>
    <row r="77" spans="2:12" x14ac:dyDescent="0.35">
      <c r="B77" s="28" t="s">
        <v>31</v>
      </c>
      <c r="C77" s="29"/>
      <c r="D77" s="29"/>
      <c r="E77" s="29"/>
      <c r="F77" s="29"/>
      <c r="G77" s="29"/>
      <c r="H77" s="45"/>
      <c r="I77" s="45"/>
      <c r="J77" s="45"/>
      <c r="K77" s="45"/>
      <c r="L77" s="45"/>
    </row>
    <row r="78" spans="2:12" x14ac:dyDescent="0.35">
      <c r="B78" s="137" t="s">
        <v>32</v>
      </c>
      <c r="C78" s="146">
        <v>500</v>
      </c>
      <c r="D78" s="146">
        <v>0</v>
      </c>
      <c r="E78" s="146">
        <v>1000</v>
      </c>
      <c r="F78" s="146">
        <v>0</v>
      </c>
      <c r="G78" s="146">
        <v>2000</v>
      </c>
      <c r="H78" s="146">
        <v>0</v>
      </c>
      <c r="I78" s="146">
        <v>0</v>
      </c>
      <c r="J78" s="146">
        <v>0</v>
      </c>
      <c r="K78" s="146">
        <v>0</v>
      </c>
      <c r="L78" s="146">
        <v>0</v>
      </c>
    </row>
    <row r="79" spans="2:12" x14ac:dyDescent="0.35">
      <c r="B79" s="137" t="s">
        <v>33</v>
      </c>
      <c r="C79" s="146">
        <v>10</v>
      </c>
      <c r="D79" s="146">
        <v>6</v>
      </c>
      <c r="E79" s="146">
        <v>6</v>
      </c>
      <c r="F79" s="146">
        <v>0</v>
      </c>
      <c r="G79" s="146">
        <v>0</v>
      </c>
      <c r="H79" s="146">
        <v>0</v>
      </c>
      <c r="I79" s="146">
        <v>0</v>
      </c>
      <c r="J79" s="146">
        <v>0</v>
      </c>
      <c r="K79" s="146">
        <v>0</v>
      </c>
      <c r="L79" s="146">
        <v>0</v>
      </c>
    </row>
    <row r="80" spans="2:12" x14ac:dyDescent="0.35">
      <c r="B80" s="137" t="s">
        <v>34</v>
      </c>
      <c r="C80" s="146">
        <v>3358</v>
      </c>
      <c r="D80" s="146">
        <v>2862</v>
      </c>
      <c r="E80" s="146">
        <v>2851</v>
      </c>
      <c r="F80" s="146">
        <v>3479</v>
      </c>
      <c r="G80" s="146">
        <v>3600</v>
      </c>
      <c r="H80" s="147">
        <f>H30*H17/365</f>
        <v>3215.6212209479627</v>
      </c>
      <c r="I80" s="147">
        <f>I30*I17/365</f>
        <v>3296.144812759856</v>
      </c>
      <c r="J80" s="147">
        <f>J30*J17/365</f>
        <v>3450.2043096919538</v>
      </c>
      <c r="K80" s="147">
        <f>K30*K17/365</f>
        <v>3611.8470526242672</v>
      </c>
      <c r="L80" s="147">
        <f>L30*L17/365</f>
        <v>3781.4547873156966</v>
      </c>
    </row>
    <row r="81" spans="2:12" x14ac:dyDescent="0.35">
      <c r="B81" s="137" t="s">
        <v>35</v>
      </c>
      <c r="C81" s="146">
        <v>420</v>
      </c>
      <c r="D81" s="146">
        <v>425</v>
      </c>
      <c r="E81" s="146">
        <v>477</v>
      </c>
      <c r="F81" s="146">
        <v>502</v>
      </c>
      <c r="G81" s="146">
        <v>478</v>
      </c>
      <c r="H81" s="148">
        <f>G81</f>
        <v>478</v>
      </c>
      <c r="I81" s="148">
        <f t="shared" ref="I81:L81" si="50">H81</f>
        <v>478</v>
      </c>
      <c r="J81" s="148">
        <f t="shared" si="50"/>
        <v>478</v>
      </c>
      <c r="K81" s="148">
        <f t="shared" si="50"/>
        <v>478</v>
      </c>
      <c r="L81" s="148">
        <f t="shared" si="50"/>
        <v>478</v>
      </c>
    </row>
    <row r="82" spans="2:12" x14ac:dyDescent="0.35">
      <c r="B82" s="137" t="s">
        <v>36</v>
      </c>
      <c r="C82" s="146">
        <v>6220</v>
      </c>
      <c r="D82" s="146">
        <v>5723</v>
      </c>
      <c r="E82" s="146">
        <v>5725</v>
      </c>
      <c r="F82" s="146">
        <v>5916</v>
      </c>
      <c r="G82" s="146">
        <v>6092</v>
      </c>
      <c r="H82" s="147">
        <f>H28*Notes!$C$49</f>
        <v>5563.3779130155353</v>
      </c>
      <c r="I82" s="147">
        <f>I28*Notes!$C$49</f>
        <v>5702.6925714848248</v>
      </c>
      <c r="J82" s="147">
        <f>J28*Notes!$C$49</f>
        <v>5969.2324229259248</v>
      </c>
      <c r="K82" s="147">
        <f>K28*Notes!$C$49</f>
        <v>6248.8921228839235</v>
      </c>
      <c r="L82" s="147">
        <f>L28*Notes!$C$49</f>
        <v>6542.3321334523098</v>
      </c>
    </row>
    <row r="83" spans="2:12" x14ac:dyDescent="0.35">
      <c r="B83" s="8" t="s">
        <v>37</v>
      </c>
      <c r="C83" s="14">
        <v>222</v>
      </c>
      <c r="D83" s="14">
        <v>240</v>
      </c>
      <c r="E83" s="14">
        <v>534</v>
      </c>
      <c r="F83" s="14">
        <v>669</v>
      </c>
      <c r="G83" s="14">
        <v>377</v>
      </c>
      <c r="H83" s="119">
        <f>H46*Notes!$C$50</f>
        <v>386.04313586494703</v>
      </c>
      <c r="I83" s="119">
        <f>I46*Notes!$C$50</f>
        <v>402.28905314542936</v>
      </c>
      <c r="J83" s="119">
        <f>J46*Notes!$C$50</f>
        <v>423.34101972887026</v>
      </c>
      <c r="K83" s="119">
        <f>K46*Notes!$C$50</f>
        <v>445.58910425447158</v>
      </c>
      <c r="L83" s="119">
        <f>L46*Notes!$C$50</f>
        <v>469.58811090794865</v>
      </c>
    </row>
    <row r="84" spans="2:12" x14ac:dyDescent="0.35">
      <c r="B84" s="9" t="s">
        <v>38</v>
      </c>
      <c r="C84" s="15">
        <f t="shared" ref="C84:H84" si="51">SUM(C78:C83)</f>
        <v>10730</v>
      </c>
      <c r="D84" s="15">
        <f t="shared" si="51"/>
        <v>9256</v>
      </c>
      <c r="E84" s="15">
        <f t="shared" si="51"/>
        <v>10593</v>
      </c>
      <c r="F84" s="15">
        <f t="shared" si="51"/>
        <v>10566</v>
      </c>
      <c r="G84" s="15">
        <f t="shared" si="51"/>
        <v>12547</v>
      </c>
      <c r="H84" s="15">
        <f t="shared" si="51"/>
        <v>9643.0422698284456</v>
      </c>
      <c r="I84" s="15">
        <f t="shared" ref="I84:L84" si="52">SUM(I78:I83)</f>
        <v>9879.1264373901104</v>
      </c>
      <c r="J84" s="15">
        <f t="shared" si="52"/>
        <v>10320.777752346748</v>
      </c>
      <c r="K84" s="15">
        <f t="shared" si="52"/>
        <v>10784.328279762663</v>
      </c>
      <c r="L84" s="15">
        <f t="shared" si="52"/>
        <v>11271.375031675956</v>
      </c>
    </row>
    <row r="85" spans="2:12" x14ac:dyDescent="0.35">
      <c r="B85" s="11" t="s">
        <v>39</v>
      </c>
      <c r="C85" s="17">
        <v>8920</v>
      </c>
      <c r="D85" s="17">
        <v>8927</v>
      </c>
      <c r="E85" s="17">
        <v>7903</v>
      </c>
      <c r="F85" s="17">
        <v>7961</v>
      </c>
      <c r="G85" s="17">
        <v>5942</v>
      </c>
      <c r="H85" s="134">
        <f>H165</f>
        <v>5942</v>
      </c>
      <c r="I85" s="134">
        <f t="shared" ref="I85:L85" si="53">I165</f>
        <v>5942</v>
      </c>
      <c r="J85" s="134">
        <f t="shared" si="53"/>
        <v>5942</v>
      </c>
      <c r="K85" s="134">
        <f t="shared" si="53"/>
        <v>4442</v>
      </c>
      <c r="L85" s="134">
        <f t="shared" si="53"/>
        <v>4442</v>
      </c>
    </row>
    <row r="86" spans="2:12" x14ac:dyDescent="0.35">
      <c r="B86" s="11" t="s">
        <v>40</v>
      </c>
      <c r="C86" s="17">
        <v>2777</v>
      </c>
      <c r="D86" s="17">
        <v>2786</v>
      </c>
      <c r="E86" s="17">
        <v>2566</v>
      </c>
      <c r="F86" s="17">
        <v>2550</v>
      </c>
      <c r="G86" s="17">
        <v>2613</v>
      </c>
      <c r="H86" s="134">
        <f>G86</f>
        <v>2613</v>
      </c>
      <c r="I86" s="134">
        <f t="shared" ref="I86:L86" si="54">H86</f>
        <v>2613</v>
      </c>
      <c r="J86" s="134">
        <f t="shared" si="54"/>
        <v>2613</v>
      </c>
      <c r="K86" s="134">
        <f t="shared" si="54"/>
        <v>2613</v>
      </c>
      <c r="L86" s="134">
        <f t="shared" si="54"/>
        <v>2613</v>
      </c>
    </row>
    <row r="87" spans="2:12" ht="15" thickBot="1" x14ac:dyDescent="0.4">
      <c r="B87" s="11" t="s">
        <v>41</v>
      </c>
      <c r="C87" s="17">
        <v>2613</v>
      </c>
      <c r="D87" s="17">
        <v>2558</v>
      </c>
      <c r="E87" s="17">
        <v>2618</v>
      </c>
      <c r="F87" s="17">
        <v>2289</v>
      </c>
      <c r="G87" s="17">
        <v>2443</v>
      </c>
      <c r="H87" s="134">
        <f>G87</f>
        <v>2443</v>
      </c>
      <c r="I87" s="134">
        <f t="shared" ref="I87:L87" si="55">H87</f>
        <v>2443</v>
      </c>
      <c r="J87" s="134">
        <f t="shared" si="55"/>
        <v>2443</v>
      </c>
      <c r="K87" s="134">
        <f t="shared" si="55"/>
        <v>2443</v>
      </c>
      <c r="L87" s="134">
        <f t="shared" si="55"/>
        <v>2443</v>
      </c>
    </row>
    <row r="88" spans="2:12" ht="15" thickTop="1" x14ac:dyDescent="0.35">
      <c r="B88" s="24" t="s">
        <v>42</v>
      </c>
      <c r="C88" s="25">
        <f>C84+SUM(C85:C87)</f>
        <v>25040</v>
      </c>
      <c r="D88" s="25">
        <f>D84+SUM(D85:D87)</f>
        <v>23527</v>
      </c>
      <c r="E88" s="25">
        <f>E84+SUM(E85:E87)</f>
        <v>23680</v>
      </c>
      <c r="F88" s="25">
        <f>F84+SUM(F85:F87)</f>
        <v>23366</v>
      </c>
      <c r="G88" s="25">
        <f>G84+SUM(G85:G87)</f>
        <v>23545</v>
      </c>
      <c r="H88" s="25">
        <f t="shared" ref="H88:L88" si="56">H84+SUM(H85:H87)</f>
        <v>20641.042269828446</v>
      </c>
      <c r="I88" s="25">
        <f t="shared" si="56"/>
        <v>20877.12643739011</v>
      </c>
      <c r="J88" s="25">
        <f t="shared" si="56"/>
        <v>21318.777752346748</v>
      </c>
      <c r="K88" s="25">
        <f t="shared" si="56"/>
        <v>20282.328279762663</v>
      </c>
      <c r="L88" s="25">
        <f t="shared" si="56"/>
        <v>20769.375031675954</v>
      </c>
    </row>
    <row r="89" spans="2:12" x14ac:dyDescent="0.35">
      <c r="B89" s="6"/>
      <c r="C89" s="18"/>
      <c r="D89" s="18"/>
      <c r="E89" s="18"/>
      <c r="F89" s="18"/>
      <c r="G89" s="18"/>
    </row>
    <row r="90" spans="2:12" x14ac:dyDescent="0.35">
      <c r="B90" s="28" t="s">
        <v>43</v>
      </c>
      <c r="C90" s="29"/>
      <c r="D90" s="29"/>
      <c r="E90" s="29"/>
      <c r="F90" s="29"/>
      <c r="G90" s="29"/>
      <c r="H90" s="45"/>
      <c r="I90" s="45"/>
      <c r="J90" s="45"/>
      <c r="K90" s="45"/>
      <c r="L90" s="45"/>
    </row>
    <row r="91" spans="2:12" x14ac:dyDescent="0.35">
      <c r="B91" s="149" t="s">
        <v>70</v>
      </c>
      <c r="C91" s="146">
        <v>3</v>
      </c>
      <c r="D91" s="146">
        <v>3</v>
      </c>
      <c r="E91" s="146">
        <v>3</v>
      </c>
      <c r="F91" s="146">
        <v>3</v>
      </c>
      <c r="G91" s="146">
        <v>3</v>
      </c>
      <c r="H91" s="148">
        <f>G91</f>
        <v>3</v>
      </c>
      <c r="I91" s="148">
        <f t="shared" ref="I91:L91" si="57">H91</f>
        <v>3</v>
      </c>
      <c r="J91" s="148">
        <f t="shared" si="57"/>
        <v>3</v>
      </c>
      <c r="K91" s="148">
        <f t="shared" si="57"/>
        <v>3</v>
      </c>
      <c r="L91" s="148">
        <f t="shared" si="57"/>
        <v>3</v>
      </c>
    </row>
    <row r="92" spans="2:12" x14ac:dyDescent="0.35">
      <c r="B92" s="149" t="s">
        <v>44</v>
      </c>
      <c r="C92" s="146">
        <v>11484</v>
      </c>
      <c r="D92" s="146">
        <v>12412</v>
      </c>
      <c r="E92" s="146">
        <v>13409</v>
      </c>
      <c r="F92" s="146">
        <v>14195</v>
      </c>
      <c r="G92" s="146">
        <v>15158</v>
      </c>
      <c r="H92" s="184">
        <f>G92+H109+Notes!$C$67</f>
        <v>16052.28405</v>
      </c>
      <c r="I92" s="184">
        <f>H92+I109+Notes!$C$67</f>
        <v>16962.701861500002</v>
      </c>
      <c r="J92" s="184">
        <f>I92+J109+Notes!$C$67</f>
        <v>17903.987138352502</v>
      </c>
      <c r="K92" s="184">
        <f>J92+K109+Notes!$C$67</f>
        <v>18877.659264872214</v>
      </c>
      <c r="L92" s="184">
        <f>K92+L109+Notes!$C$67</f>
        <v>19885.314112213164</v>
      </c>
    </row>
    <row r="93" spans="2:12" x14ac:dyDescent="0.35">
      <c r="B93" s="149" t="s">
        <v>68</v>
      </c>
      <c r="C93" s="146">
        <v>318</v>
      </c>
      <c r="D93" s="146">
        <v>231</v>
      </c>
      <c r="E93" s="146">
        <v>53</v>
      </c>
      <c r="F93" s="146">
        <v>-258</v>
      </c>
      <c r="G93" s="146">
        <v>-141</v>
      </c>
      <c r="H93" s="148">
        <f>G93</f>
        <v>-141</v>
      </c>
      <c r="I93" s="148">
        <f t="shared" ref="I93:L93" si="58">H93</f>
        <v>-141</v>
      </c>
      <c r="J93" s="148">
        <f t="shared" si="58"/>
        <v>-141</v>
      </c>
      <c r="K93" s="148">
        <f t="shared" si="58"/>
        <v>-141</v>
      </c>
      <c r="L93" s="148">
        <f t="shared" si="58"/>
        <v>-141</v>
      </c>
    </row>
    <row r="94" spans="2:12" ht="15" thickBot="1" x14ac:dyDescent="0.4">
      <c r="B94" s="12" t="s">
        <v>69</v>
      </c>
      <c r="C94" s="17">
        <v>3476</v>
      </c>
      <c r="D94" s="17">
        <v>1358</v>
      </c>
      <c r="E94" s="17">
        <v>965</v>
      </c>
      <c r="F94" s="17">
        <v>-727</v>
      </c>
      <c r="G94" s="17">
        <v>-155</v>
      </c>
      <c r="H94" s="184">
        <f>G94+H49+H129-Notes!$C$62</f>
        <v>-432.35296091989676</v>
      </c>
      <c r="I94" s="184">
        <f>H94+I49+I129-Notes!$C$62</f>
        <v>-600.74603640213672</v>
      </c>
      <c r="J94" s="184">
        <f>I94+J49+J129-Notes!$C$62</f>
        <v>-620.26916116411394</v>
      </c>
      <c r="K94" s="184">
        <f>J94+K49+K129-Notes!$C$62</f>
        <v>-480.74260939046871</v>
      </c>
      <c r="L94" s="184">
        <f>K94+L49+L129-Notes!$C$62</f>
        <v>-167.3814603704559</v>
      </c>
    </row>
    <row r="95" spans="2:12" ht="15" thickTop="1" x14ac:dyDescent="0.35">
      <c r="B95" s="24" t="s">
        <v>45</v>
      </c>
      <c r="C95" s="25">
        <f t="shared" ref="C95:H95" si="59">SUM(C91:C94)</f>
        <v>15281</v>
      </c>
      <c r="D95" s="25">
        <f t="shared" si="59"/>
        <v>14004</v>
      </c>
      <c r="E95" s="25">
        <f t="shared" si="59"/>
        <v>14430</v>
      </c>
      <c r="F95" s="25">
        <f t="shared" si="59"/>
        <v>13213</v>
      </c>
      <c r="G95" s="25">
        <f t="shared" si="59"/>
        <v>14865</v>
      </c>
      <c r="H95" s="25">
        <f t="shared" si="59"/>
        <v>15481.931089080103</v>
      </c>
      <c r="I95" s="25">
        <f t="shared" ref="I95:L95" si="60">SUM(I91:I94)</f>
        <v>16223.955825097864</v>
      </c>
      <c r="J95" s="25">
        <f t="shared" si="60"/>
        <v>17145.717977188389</v>
      </c>
      <c r="K95" s="25">
        <f t="shared" si="60"/>
        <v>18258.916655481746</v>
      </c>
      <c r="L95" s="25">
        <f t="shared" si="60"/>
        <v>19579.932651842708</v>
      </c>
    </row>
    <row r="96" spans="2:12" x14ac:dyDescent="0.35">
      <c r="B96" s="6"/>
      <c r="C96" s="18"/>
      <c r="D96" s="18"/>
      <c r="E96" s="18"/>
      <c r="F96" s="18"/>
      <c r="G96" s="18"/>
      <c r="H96" s="70"/>
      <c r="I96" s="70"/>
      <c r="J96" s="70"/>
      <c r="K96" s="70"/>
    </row>
    <row r="97" spans="2:12" x14ac:dyDescent="0.35">
      <c r="B97" s="150" t="s">
        <v>46</v>
      </c>
      <c r="C97" s="151">
        <f t="shared" ref="C97:H97" si="61">C88+C95</f>
        <v>40321</v>
      </c>
      <c r="D97" s="151">
        <f t="shared" si="61"/>
        <v>37531</v>
      </c>
      <c r="E97" s="151">
        <f t="shared" si="61"/>
        <v>38110</v>
      </c>
      <c r="F97" s="151">
        <f t="shared" si="61"/>
        <v>36579</v>
      </c>
      <c r="G97" s="151">
        <f t="shared" si="61"/>
        <v>38410</v>
      </c>
      <c r="H97" s="151">
        <f t="shared" si="61"/>
        <v>36122.973358908552</v>
      </c>
      <c r="I97" s="151">
        <f t="shared" ref="I97:L97" si="62">I88+I95</f>
        <v>37101.082262487973</v>
      </c>
      <c r="J97" s="151">
        <f t="shared" si="62"/>
        <v>38464.495729535134</v>
      </c>
      <c r="K97" s="151">
        <f t="shared" si="62"/>
        <v>38541.244935244409</v>
      </c>
      <c r="L97" s="151">
        <f t="shared" si="62"/>
        <v>40349.307683518666</v>
      </c>
    </row>
    <row r="98" spans="2:12" x14ac:dyDescent="0.35">
      <c r="B98" s="6"/>
      <c r="C98" s="18"/>
      <c r="D98" s="18"/>
      <c r="E98" s="18"/>
      <c r="F98" s="18"/>
      <c r="G98" s="18"/>
    </row>
    <row r="99" spans="2:12" ht="14" customHeight="1" x14ac:dyDescent="0.35">
      <c r="B99" s="212" t="s">
        <v>75</v>
      </c>
      <c r="C99" s="213" t="b">
        <f>ROUND(C75,2)=ROUND(C97,2)</f>
        <v>1</v>
      </c>
      <c r="D99" s="213" t="b">
        <f t="shared" ref="D99:G99" si="63">ROUND(D75,2)=ROUND(D97,2)</f>
        <v>1</v>
      </c>
      <c r="E99" s="213" t="b">
        <f t="shared" si="63"/>
        <v>1</v>
      </c>
      <c r="F99" s="213" t="b">
        <f t="shared" si="63"/>
        <v>1</v>
      </c>
      <c r="G99" s="213" t="b">
        <f t="shared" si="63"/>
        <v>1</v>
      </c>
      <c r="H99" s="213" t="b">
        <f>ROUND(H75,2)=ROUND(H97,2)</f>
        <v>1</v>
      </c>
      <c r="I99" s="213" t="b">
        <f t="shared" ref="I99:L99" si="64">ROUND(I75,2)=ROUND(I97,2)</f>
        <v>1</v>
      </c>
      <c r="J99" s="213" t="b">
        <f t="shared" si="64"/>
        <v>1</v>
      </c>
      <c r="K99" s="213" t="b">
        <f t="shared" si="64"/>
        <v>1</v>
      </c>
      <c r="L99" s="213" t="b">
        <f t="shared" si="64"/>
        <v>1</v>
      </c>
    </row>
    <row r="100" spans="2:12" x14ac:dyDescent="0.35">
      <c r="B100" s="1"/>
      <c r="C100" s="19"/>
      <c r="D100" s="19"/>
      <c r="E100" s="19"/>
      <c r="F100" s="19"/>
      <c r="G100" s="19"/>
    </row>
    <row r="101" spans="2:12" x14ac:dyDescent="0.35">
      <c r="B101" s="1"/>
      <c r="C101" s="19"/>
      <c r="D101" s="19"/>
      <c r="E101" s="19"/>
      <c r="F101" s="19"/>
      <c r="G101" s="19"/>
    </row>
    <row r="102" spans="2:12" x14ac:dyDescent="0.35">
      <c r="B102" s="43" t="s">
        <v>89</v>
      </c>
      <c r="C102" s="254" t="s">
        <v>55</v>
      </c>
      <c r="D102" s="254"/>
      <c r="E102" s="254"/>
      <c r="F102" s="254"/>
      <c r="G102" s="255"/>
      <c r="H102" s="256" t="s">
        <v>80</v>
      </c>
      <c r="I102" s="254"/>
      <c r="J102" s="254"/>
      <c r="K102" s="254"/>
      <c r="L102" s="254"/>
    </row>
    <row r="103" spans="2:12" x14ac:dyDescent="0.35">
      <c r="B103" s="36" t="s">
        <v>237</v>
      </c>
      <c r="C103" s="38" t="s">
        <v>0</v>
      </c>
      <c r="D103" s="38" t="s">
        <v>1</v>
      </c>
      <c r="E103" s="38" t="s">
        <v>2</v>
      </c>
      <c r="F103" s="38" t="s">
        <v>3</v>
      </c>
      <c r="G103" s="38" t="s">
        <v>4</v>
      </c>
      <c r="H103" s="38" t="s">
        <v>49</v>
      </c>
      <c r="I103" s="38" t="s">
        <v>50</v>
      </c>
      <c r="J103" s="38" t="s">
        <v>51</v>
      </c>
      <c r="K103" s="38" t="s">
        <v>52</v>
      </c>
      <c r="L103" s="38" t="s">
        <v>56</v>
      </c>
    </row>
    <row r="104" spans="2:12" s="23" customFormat="1" x14ac:dyDescent="0.35">
      <c r="B104" s="26"/>
      <c r="C104" s="27"/>
      <c r="D104" s="27"/>
      <c r="E104" s="27"/>
      <c r="F104" s="27"/>
      <c r="G104" s="27"/>
      <c r="H104" s="27"/>
      <c r="I104" s="27"/>
      <c r="J104" s="27"/>
      <c r="K104" s="27"/>
      <c r="L104" s="27"/>
    </row>
    <row r="105" spans="2:12" x14ac:dyDescent="0.35">
      <c r="B105" s="28" t="s">
        <v>71</v>
      </c>
      <c r="C105" s="29"/>
      <c r="D105" s="29"/>
      <c r="E105" s="29"/>
      <c r="F105" s="29"/>
      <c r="G105" s="29"/>
      <c r="H105" s="45"/>
      <c r="I105" s="45"/>
      <c r="J105" s="45"/>
      <c r="K105" s="45"/>
      <c r="L105" s="45"/>
    </row>
    <row r="106" spans="2:12" x14ac:dyDescent="0.35">
      <c r="B106" s="11"/>
      <c r="C106" s="20"/>
      <c r="D106" s="20"/>
      <c r="E106" s="20"/>
      <c r="F106" s="20"/>
      <c r="G106" s="20"/>
      <c r="H106" s="70"/>
      <c r="I106" s="70"/>
      <c r="J106" s="70"/>
      <c r="K106" s="70"/>
    </row>
    <row r="107" spans="2:12" x14ac:dyDescent="0.35">
      <c r="B107" s="144" t="s">
        <v>47</v>
      </c>
      <c r="C107" s="145">
        <f>C49</f>
        <v>6046</v>
      </c>
      <c r="D107" s="145">
        <f>D49</f>
        <v>5070</v>
      </c>
      <c r="E107" s="145">
        <f>E49</f>
        <v>5700</v>
      </c>
      <c r="F107" s="145">
        <f>F49</f>
        <v>3219</v>
      </c>
      <c r="G107" s="145">
        <f>G49</f>
        <v>3108</v>
      </c>
      <c r="H107" s="145">
        <f t="shared" ref="H107:L107" si="65">H49</f>
        <v>3182.5518999157971</v>
      </c>
      <c r="I107" s="145">
        <f t="shared" si="65"/>
        <v>3316.4837590875186</v>
      </c>
      <c r="J107" s="145">
        <f t="shared" si="65"/>
        <v>3490.0368416905276</v>
      </c>
      <c r="K107" s="145">
        <f t="shared" si="65"/>
        <v>3673.4507586814266</v>
      </c>
      <c r="L107" s="145">
        <f t="shared" si="65"/>
        <v>3871.2993334268026</v>
      </c>
    </row>
    <row r="108" spans="2:12" x14ac:dyDescent="0.35">
      <c r="B108" s="137" t="s">
        <v>210</v>
      </c>
      <c r="C108" s="156">
        <v>840</v>
      </c>
      <c r="D108" s="156">
        <v>859</v>
      </c>
      <c r="E108" s="156">
        <v>796</v>
      </c>
      <c r="F108" s="156">
        <v>775</v>
      </c>
      <c r="G108" s="156">
        <v>747</v>
      </c>
      <c r="H108" s="147">
        <f>H159</f>
        <v>713.76497157805159</v>
      </c>
      <c r="I108" s="147">
        <f t="shared" ref="I108:L108" si="66">I159</f>
        <v>731.63863121388226</v>
      </c>
      <c r="J108" s="147">
        <f t="shared" si="66"/>
        <v>765.83490773200128</v>
      </c>
      <c r="K108" s="147">
        <f t="shared" si="66"/>
        <v>801.71442210492512</v>
      </c>
      <c r="L108" s="147">
        <f t="shared" si="66"/>
        <v>839.36190967056484</v>
      </c>
    </row>
    <row r="109" spans="2:12" x14ac:dyDescent="0.35">
      <c r="B109" s="137" t="s">
        <v>211</v>
      </c>
      <c r="C109" s="156">
        <v>-38</v>
      </c>
      <c r="D109" s="156">
        <v>425</v>
      </c>
      <c r="E109" s="156">
        <v>217</v>
      </c>
      <c r="F109" s="156">
        <v>491</v>
      </c>
      <c r="G109" s="156">
        <v>691</v>
      </c>
      <c r="H109" s="185">
        <f>H28*Notes!$C$42</f>
        <v>644.28405000000009</v>
      </c>
      <c r="I109" s="185">
        <f>I28*Notes!$C$42</f>
        <v>660.41781150000008</v>
      </c>
      <c r="J109" s="185">
        <f>J28*Notes!$C$42</f>
        <v>691.28527685249992</v>
      </c>
      <c r="K109" s="185">
        <f>K28*Notes!$C$42</f>
        <v>723.67212651971249</v>
      </c>
      <c r="L109" s="185">
        <f>L28*Notes!$C$42</f>
        <v>757.65484734094935</v>
      </c>
    </row>
    <row r="110" spans="2:12" x14ac:dyDescent="0.35">
      <c r="B110" s="144" t="s">
        <v>212</v>
      </c>
      <c r="C110" s="158">
        <f>SUM(C108:C109)</f>
        <v>802</v>
      </c>
      <c r="D110" s="158">
        <f t="shared" ref="D110:G110" si="67">SUM(D108:D109)</f>
        <v>1284</v>
      </c>
      <c r="E110" s="158">
        <f t="shared" si="67"/>
        <v>1013</v>
      </c>
      <c r="F110" s="158">
        <f t="shared" si="67"/>
        <v>1266</v>
      </c>
      <c r="G110" s="158">
        <f t="shared" si="67"/>
        <v>1438</v>
      </c>
      <c r="H110" s="186">
        <f>SUM(H108:H109)</f>
        <v>1358.0490215780517</v>
      </c>
      <c r="I110" s="186">
        <f t="shared" ref="I110:L110" si="68">SUM(I108:I109)</f>
        <v>1392.0564427138825</v>
      </c>
      <c r="J110" s="186">
        <f t="shared" si="68"/>
        <v>1457.1201845845012</v>
      </c>
      <c r="K110" s="186">
        <f t="shared" si="68"/>
        <v>1525.3865486246377</v>
      </c>
      <c r="L110" s="186">
        <f t="shared" si="68"/>
        <v>1597.0167570115141</v>
      </c>
    </row>
    <row r="111" spans="2:12" x14ac:dyDescent="0.35">
      <c r="B111" s="137" t="s">
        <v>213</v>
      </c>
      <c r="C111" s="156">
        <v>-504</v>
      </c>
      <c r="D111" s="156">
        <v>489</v>
      </c>
      <c r="E111" s="156">
        <v>-329</v>
      </c>
      <c r="F111" s="156">
        <v>-257</v>
      </c>
      <c r="G111" s="156">
        <v>-1207</v>
      </c>
      <c r="H111" s="187">
        <f>G66-H66</f>
        <v>998.18874074280393</v>
      </c>
      <c r="I111" s="187">
        <f t="shared" ref="I111:L111" si="69">H66-I66</f>
        <v>-123.52439949641848</v>
      </c>
      <c r="J111" s="187">
        <f t="shared" si="69"/>
        <v>-236.32958263601722</v>
      </c>
      <c r="K111" s="187">
        <f t="shared" si="69"/>
        <v>-247.96239591884387</v>
      </c>
      <c r="L111" s="187">
        <f t="shared" si="69"/>
        <v>-260.18081293055639</v>
      </c>
    </row>
    <row r="112" spans="2:12" x14ac:dyDescent="0.35">
      <c r="B112" s="137" t="s">
        <v>214</v>
      </c>
      <c r="C112" s="156">
        <v>-1676</v>
      </c>
      <c r="D112" s="156">
        <v>-133</v>
      </c>
      <c r="E112" s="156">
        <v>908</v>
      </c>
      <c r="F112" s="156">
        <v>120</v>
      </c>
      <c r="G112" s="156">
        <v>-31</v>
      </c>
      <c r="H112" s="187">
        <f>G67-H67</f>
        <v>691.89023826339508</v>
      </c>
      <c r="I112" s="187">
        <f t="shared" ref="I112:L112" si="70">H67-I67</f>
        <v>-170.50950263812956</v>
      </c>
      <c r="J112" s="187">
        <f t="shared" si="70"/>
        <v>-326.22250954648644</v>
      </c>
      <c r="K112" s="187">
        <f t="shared" si="70"/>
        <v>-342.28010800657285</v>
      </c>
      <c r="L112" s="187">
        <f t="shared" si="70"/>
        <v>-359.14605688943266</v>
      </c>
    </row>
    <row r="113" spans="2:12" x14ac:dyDescent="0.35">
      <c r="B113" s="137" t="s">
        <v>215</v>
      </c>
      <c r="C113" s="156">
        <v>1365</v>
      </c>
      <c r="D113" s="156">
        <v>-225</v>
      </c>
      <c r="E113" s="156">
        <v>397</v>
      </c>
      <c r="F113" s="156">
        <v>-426</v>
      </c>
      <c r="G113" s="156">
        <v>-959</v>
      </c>
      <c r="H113" s="188">
        <f>(H80+H82+H83)-(G80+G82+G83)</f>
        <v>-903.95773017155443</v>
      </c>
      <c r="I113" s="188">
        <f t="shared" ref="I113:L113" si="71">(I80+I82+I83)-(H80+H82+H83)</f>
        <v>236.0841675616648</v>
      </c>
      <c r="J113" s="188">
        <f t="shared" si="71"/>
        <v>441.65131495663809</v>
      </c>
      <c r="K113" s="188">
        <f t="shared" si="71"/>
        <v>463.55052741591498</v>
      </c>
      <c r="L113" s="188">
        <f t="shared" si="71"/>
        <v>487.04675191329261</v>
      </c>
    </row>
    <row r="114" spans="2:12" x14ac:dyDescent="0.35">
      <c r="B114" s="137" t="s">
        <v>216</v>
      </c>
      <c r="C114" s="156">
        <v>-845</v>
      </c>
      <c r="D114" s="156">
        <v>-644</v>
      </c>
      <c r="E114" s="156">
        <v>-260</v>
      </c>
      <c r="F114" s="156">
        <v>-224</v>
      </c>
      <c r="G114" s="156">
        <v>519</v>
      </c>
      <c r="H114" s="187">
        <f>G68-H68</f>
        <v>221.77836804516346</v>
      </c>
      <c r="I114" s="187">
        <f t="shared" ref="I114:L114" si="72">H68-I68</f>
        <v>-48.135081661730055</v>
      </c>
      <c r="J114" s="187">
        <f t="shared" si="72"/>
        <v>-92.093090965377542</v>
      </c>
      <c r="K114" s="187">
        <f t="shared" si="72"/>
        <v>-96.626174466347948</v>
      </c>
      <c r="L114" s="187">
        <f t="shared" si="72"/>
        <v>-101.3874564724415</v>
      </c>
    </row>
    <row r="115" spans="2:12" ht="15" thickBot="1" x14ac:dyDescent="0.4">
      <c r="B115" s="160" t="s">
        <v>217</v>
      </c>
      <c r="C115" s="161">
        <f t="shared" ref="C115:H115" si="73">SUM(C111:C114)</f>
        <v>-1660</v>
      </c>
      <c r="D115" s="161">
        <f t="shared" si="73"/>
        <v>-513</v>
      </c>
      <c r="E115" s="161">
        <f t="shared" si="73"/>
        <v>716</v>
      </c>
      <c r="F115" s="161">
        <f t="shared" si="73"/>
        <v>-787</v>
      </c>
      <c r="G115" s="189">
        <f t="shared" si="73"/>
        <v>-1678</v>
      </c>
      <c r="H115" s="190">
        <f t="shared" si="73"/>
        <v>1007.899616879808</v>
      </c>
      <c r="I115" s="190">
        <f t="shared" ref="I115:L115" si="74">SUM(I111:I114)</f>
        <v>-106.0848162346133</v>
      </c>
      <c r="J115" s="190">
        <f t="shared" si="74"/>
        <v>-212.99386819124311</v>
      </c>
      <c r="K115" s="190">
        <f t="shared" si="74"/>
        <v>-223.31815097584968</v>
      </c>
      <c r="L115" s="190">
        <f t="shared" si="74"/>
        <v>-233.66757437913793</v>
      </c>
    </row>
    <row r="116" spans="2:12" ht="15" thickTop="1" x14ac:dyDescent="0.35">
      <c r="B116" s="24" t="s">
        <v>73</v>
      </c>
      <c r="C116" s="25">
        <f>SUM(C107,C110,C115)</f>
        <v>5188</v>
      </c>
      <c r="D116" s="25">
        <f t="shared" ref="D116:G116" si="75">SUM(D107,D110,D115)</f>
        <v>5841</v>
      </c>
      <c r="E116" s="25">
        <f t="shared" si="75"/>
        <v>7429</v>
      </c>
      <c r="F116" s="25">
        <f t="shared" si="75"/>
        <v>3698</v>
      </c>
      <c r="G116" s="18">
        <f t="shared" si="75"/>
        <v>2868</v>
      </c>
      <c r="H116" s="191">
        <f>SUM(H107,H110,H115)</f>
        <v>5548.500538373657</v>
      </c>
      <c r="I116" s="191">
        <f t="shared" ref="I116:L116" si="76">SUM(I107,I110,I115)</f>
        <v>4602.4553855667873</v>
      </c>
      <c r="J116" s="191">
        <f t="shared" si="76"/>
        <v>4734.1631580837857</v>
      </c>
      <c r="K116" s="191">
        <f t="shared" si="76"/>
        <v>4975.5191563302151</v>
      </c>
      <c r="L116" s="191">
        <f t="shared" si="76"/>
        <v>5234.6485160591783</v>
      </c>
    </row>
    <row r="117" spans="2:12" x14ac:dyDescent="0.35">
      <c r="B117" s="6"/>
      <c r="C117" s="18"/>
      <c r="D117" s="18"/>
      <c r="E117" s="18"/>
      <c r="F117" s="18"/>
      <c r="G117" s="18"/>
    </row>
    <row r="118" spans="2:12" x14ac:dyDescent="0.35">
      <c r="B118" s="28" t="s">
        <v>72</v>
      </c>
      <c r="C118" s="29"/>
      <c r="D118" s="29"/>
      <c r="E118" s="29"/>
      <c r="F118" s="29"/>
      <c r="G118" s="29"/>
      <c r="H118" s="45"/>
      <c r="I118" s="45"/>
      <c r="J118" s="45"/>
      <c r="K118" s="45"/>
      <c r="L118" s="45"/>
    </row>
    <row r="119" spans="2:12" x14ac:dyDescent="0.35">
      <c r="B119" s="11"/>
      <c r="C119" s="17"/>
      <c r="D119" s="17"/>
      <c r="E119" s="17"/>
      <c r="F119" s="17"/>
      <c r="G119" s="17"/>
      <c r="H119" s="70"/>
      <c r="I119" s="70"/>
      <c r="J119" s="70"/>
      <c r="K119" s="70"/>
    </row>
    <row r="120" spans="2:12" x14ac:dyDescent="0.35">
      <c r="B120" s="137" t="s">
        <v>218</v>
      </c>
      <c r="C120" s="156">
        <v>-758</v>
      </c>
      <c r="D120" s="156">
        <v>-969</v>
      </c>
      <c r="E120" s="156">
        <v>-812</v>
      </c>
      <c r="F120" s="156">
        <v>-430</v>
      </c>
      <c r="G120" s="156">
        <v>-684</v>
      </c>
      <c r="H120" s="184">
        <f>-H158</f>
        <v>-644.14752964076717</v>
      </c>
      <c r="I120" s="184">
        <f t="shared" ref="I120:L120" si="77">-I158</f>
        <v>-660.27787248262132</v>
      </c>
      <c r="J120" s="184">
        <f t="shared" si="77"/>
        <v>-691.13879718358942</v>
      </c>
      <c r="K120" s="184">
        <f t="shared" si="77"/>
        <v>-723.51878424982499</v>
      </c>
      <c r="L120" s="184">
        <f t="shared" si="77"/>
        <v>-757.49430431348571</v>
      </c>
    </row>
    <row r="121" spans="2:12" x14ac:dyDescent="0.35">
      <c r="B121" s="137" t="s">
        <v>219</v>
      </c>
      <c r="C121" s="156">
        <v>-747</v>
      </c>
      <c r="D121" s="156">
        <v>1481</v>
      </c>
      <c r="E121" s="156">
        <v>1721</v>
      </c>
      <c r="F121" s="156">
        <v>147</v>
      </c>
      <c r="G121" s="156">
        <v>261</v>
      </c>
      <c r="H121" s="147">
        <v>0</v>
      </c>
      <c r="I121" s="147">
        <v>0</v>
      </c>
      <c r="J121" s="147">
        <v>0</v>
      </c>
      <c r="K121" s="147">
        <v>0</v>
      </c>
      <c r="L121" s="147">
        <v>0</v>
      </c>
    </row>
    <row r="122" spans="2:12" ht="15" thickBot="1" x14ac:dyDescent="0.4">
      <c r="B122" s="137" t="s">
        <v>220</v>
      </c>
      <c r="C122" s="156">
        <v>-19</v>
      </c>
      <c r="D122" s="156">
        <v>52</v>
      </c>
      <c r="E122" s="156">
        <v>-15</v>
      </c>
      <c r="F122" s="156">
        <v>8</v>
      </c>
      <c r="G122" s="156">
        <v>-65</v>
      </c>
      <c r="H122" s="147">
        <v>0</v>
      </c>
      <c r="I122" s="147">
        <v>0</v>
      </c>
      <c r="J122" s="147">
        <v>0</v>
      </c>
      <c r="K122" s="147">
        <v>0</v>
      </c>
      <c r="L122" s="147">
        <v>0</v>
      </c>
    </row>
    <row r="123" spans="2:12" ht="15" thickTop="1" x14ac:dyDescent="0.35">
      <c r="B123" s="163" t="s">
        <v>221</v>
      </c>
      <c r="C123" s="164">
        <f>SUM(C120:C122)</f>
        <v>-1524</v>
      </c>
      <c r="D123" s="164">
        <f>SUM(D120:D122)</f>
        <v>564</v>
      </c>
      <c r="E123" s="164">
        <f>SUM(E120:E122)</f>
        <v>894</v>
      </c>
      <c r="F123" s="164">
        <f>SUM(F120:F122)</f>
        <v>-275</v>
      </c>
      <c r="G123" s="164">
        <f>SUM(G120:G122)</f>
        <v>-488</v>
      </c>
      <c r="H123" s="164">
        <f t="shared" ref="H123:L123" si="78">SUM(H120:H122)</f>
        <v>-644.14752964076717</v>
      </c>
      <c r="I123" s="164">
        <f t="shared" si="78"/>
        <v>-660.27787248262132</v>
      </c>
      <c r="J123" s="164">
        <f t="shared" si="78"/>
        <v>-691.13879718358942</v>
      </c>
      <c r="K123" s="164">
        <f t="shared" si="78"/>
        <v>-723.51878424982499</v>
      </c>
      <c r="L123" s="164">
        <f t="shared" si="78"/>
        <v>-757.49430431348571</v>
      </c>
    </row>
    <row r="124" spans="2:12" x14ac:dyDescent="0.35">
      <c r="B124" s="6"/>
      <c r="C124" s="18"/>
      <c r="D124" s="18"/>
      <c r="E124" s="18"/>
      <c r="F124" s="18"/>
      <c r="G124" s="18"/>
    </row>
    <row r="125" spans="2:12" x14ac:dyDescent="0.35">
      <c r="B125" s="28" t="s">
        <v>74</v>
      </c>
      <c r="C125" s="29"/>
      <c r="D125" s="29"/>
      <c r="E125" s="29"/>
      <c r="F125" s="29"/>
      <c r="G125" s="29"/>
      <c r="H125" s="45"/>
      <c r="I125" s="45"/>
      <c r="J125" s="45"/>
      <c r="K125" s="45"/>
      <c r="L125" s="45"/>
    </row>
    <row r="126" spans="2:12" x14ac:dyDescent="0.35">
      <c r="B126" s="176"/>
      <c r="C126" s="177"/>
      <c r="D126" s="177"/>
      <c r="E126" s="177"/>
      <c r="F126" s="177"/>
      <c r="G126" s="177"/>
      <c r="H126" s="162"/>
      <c r="I126" s="162"/>
      <c r="J126" s="162"/>
      <c r="K126" s="162"/>
      <c r="L126" s="162"/>
    </row>
    <row r="127" spans="2:12" x14ac:dyDescent="0.35">
      <c r="B127" s="137" t="s">
        <v>222</v>
      </c>
      <c r="C127" s="156">
        <v>15</v>
      </c>
      <c r="D127" s="156">
        <v>-504</v>
      </c>
      <c r="E127" s="156">
        <v>0</v>
      </c>
      <c r="F127" s="156">
        <v>-1000</v>
      </c>
      <c r="G127" s="156">
        <v>0</v>
      </c>
      <c r="H127" s="194">
        <f>H164</f>
        <v>-2000</v>
      </c>
      <c r="I127" s="194">
        <f t="shared" ref="I127:L127" si="79">I164</f>
        <v>0</v>
      </c>
      <c r="J127" s="194">
        <f t="shared" si="79"/>
        <v>0</v>
      </c>
      <c r="K127" s="194">
        <f t="shared" si="79"/>
        <v>-1500</v>
      </c>
      <c r="L127" s="194">
        <f t="shared" si="79"/>
        <v>0</v>
      </c>
    </row>
    <row r="128" spans="2:12" x14ac:dyDescent="0.35">
      <c r="B128" s="137" t="s">
        <v>223</v>
      </c>
      <c r="C128" s="156">
        <v>-2863</v>
      </c>
      <c r="D128" s="156">
        <v>-4829</v>
      </c>
      <c r="E128" s="156">
        <v>-3583</v>
      </c>
      <c r="F128" s="156">
        <v>-2434</v>
      </c>
      <c r="G128" s="156">
        <v>208</v>
      </c>
      <c r="H128" s="195">
        <f>-Notes!$C$62+Notes!$C$67</f>
        <v>-750</v>
      </c>
      <c r="I128" s="195">
        <f>-Notes!$C$62+Notes!$C$67</f>
        <v>-750</v>
      </c>
      <c r="J128" s="195">
        <f>-Notes!$C$62+Notes!$C$67</f>
        <v>-750</v>
      </c>
      <c r="K128" s="195">
        <f>-Notes!$C$62+Notes!$C$67</f>
        <v>-750</v>
      </c>
      <c r="L128" s="195">
        <f>-Notes!$C$62+Notes!$C$67</f>
        <v>-750</v>
      </c>
    </row>
    <row r="129" spans="2:12" x14ac:dyDescent="0.35">
      <c r="B129" s="137" t="s">
        <v>224</v>
      </c>
      <c r="C129" s="156">
        <v>-1837</v>
      </c>
      <c r="D129" s="156">
        <v>-2012</v>
      </c>
      <c r="E129" s="156">
        <v>-2169</v>
      </c>
      <c r="F129" s="156">
        <v>-2300</v>
      </c>
      <c r="G129" s="156">
        <v>-2407</v>
      </c>
      <c r="H129" s="185">
        <f>-H57*H55</f>
        <v>-2459.9048608356939</v>
      </c>
      <c r="I129" s="185">
        <f t="shared" ref="I129:L129" si="80">-I57*I55</f>
        <v>-2484.8768345697586</v>
      </c>
      <c r="J129" s="185">
        <f t="shared" si="80"/>
        <v>-2509.5599664525048</v>
      </c>
      <c r="K129" s="185">
        <f t="shared" si="80"/>
        <v>-2533.9242069077814</v>
      </c>
      <c r="L129" s="185">
        <f t="shared" si="80"/>
        <v>-2557.9381844067898</v>
      </c>
    </row>
    <row r="130" spans="2:12" ht="15" thickBot="1" x14ac:dyDescent="0.4">
      <c r="B130" s="179" t="s">
        <v>225</v>
      </c>
      <c r="C130" s="180">
        <v>-151</v>
      </c>
      <c r="D130" s="180">
        <v>-102</v>
      </c>
      <c r="E130" s="180">
        <v>-136</v>
      </c>
      <c r="F130" s="180">
        <v>-86</v>
      </c>
      <c r="G130" s="180">
        <v>-93</v>
      </c>
      <c r="H130" s="181">
        <v>0</v>
      </c>
      <c r="I130" s="181">
        <v>0</v>
      </c>
      <c r="J130" s="181">
        <v>0</v>
      </c>
      <c r="K130" s="181">
        <v>0</v>
      </c>
      <c r="L130" s="181">
        <v>0</v>
      </c>
    </row>
    <row r="131" spans="2:12" ht="15" thickTop="1" x14ac:dyDescent="0.35">
      <c r="B131" s="163" t="s">
        <v>226</v>
      </c>
      <c r="C131" s="164">
        <f>SUM(C127:C130)</f>
        <v>-4836</v>
      </c>
      <c r="D131" s="164">
        <f>SUM(D127:D130)</f>
        <v>-7447</v>
      </c>
      <c r="E131" s="164">
        <f>SUM(E127:E130)</f>
        <v>-5888</v>
      </c>
      <c r="F131" s="164">
        <f>SUM(F127:F130)</f>
        <v>-5820</v>
      </c>
      <c r="G131" s="164">
        <f>SUM(G127:G130)</f>
        <v>-2292</v>
      </c>
      <c r="H131" s="164">
        <f t="shared" ref="H131:L131" si="81">SUM(H127:H130)</f>
        <v>-5209.9048608356934</v>
      </c>
      <c r="I131" s="164">
        <f t="shared" si="81"/>
        <v>-3234.8768345697586</v>
      </c>
      <c r="J131" s="164">
        <f t="shared" si="81"/>
        <v>-3259.5599664525048</v>
      </c>
      <c r="K131" s="164">
        <f t="shared" si="81"/>
        <v>-4783.9242069077809</v>
      </c>
      <c r="L131" s="164">
        <f t="shared" si="81"/>
        <v>-3307.9381844067898</v>
      </c>
    </row>
    <row r="132" spans="2:12" x14ac:dyDescent="0.35">
      <c r="B132" s="6"/>
      <c r="C132" s="18"/>
      <c r="D132" s="18"/>
      <c r="E132" s="18"/>
      <c r="F132" s="18"/>
      <c r="G132" s="18"/>
      <c r="H132" s="70"/>
      <c r="I132" s="70"/>
      <c r="J132" s="70"/>
      <c r="K132" s="70"/>
    </row>
    <row r="133" spans="2:12" x14ac:dyDescent="0.35">
      <c r="B133" s="135" t="s">
        <v>227</v>
      </c>
      <c r="C133" s="182">
        <v>-143</v>
      </c>
      <c r="D133" s="182">
        <v>-91</v>
      </c>
      <c r="E133" s="182">
        <v>-16</v>
      </c>
      <c r="F133" s="182">
        <v>1</v>
      </c>
      <c r="G133" s="182">
        <v>11</v>
      </c>
      <c r="H133" s="136">
        <v>0</v>
      </c>
      <c r="I133" s="136">
        <v>0</v>
      </c>
      <c r="J133" s="136">
        <v>0</v>
      </c>
      <c r="K133" s="136">
        <v>0</v>
      </c>
      <c r="L133" s="136">
        <v>0</v>
      </c>
    </row>
    <row r="134" spans="2:12" x14ac:dyDescent="0.35">
      <c r="B134" s="157" t="s">
        <v>228</v>
      </c>
      <c r="C134" s="165">
        <f t="shared" ref="C134:H134" si="82">C116+C123+C131+C133</f>
        <v>-1315</v>
      </c>
      <c r="D134" s="165">
        <f t="shared" si="82"/>
        <v>-1133</v>
      </c>
      <c r="E134" s="165">
        <f t="shared" si="82"/>
        <v>2419</v>
      </c>
      <c r="F134" s="165">
        <f t="shared" si="82"/>
        <v>-2396</v>
      </c>
      <c r="G134" s="117">
        <f t="shared" si="82"/>
        <v>99</v>
      </c>
      <c r="H134" s="192">
        <f t="shared" si="82"/>
        <v>-305.55185210280342</v>
      </c>
      <c r="I134" s="117">
        <f t="shared" ref="I134:L134" si="83">I116+I123+I131+I133</f>
        <v>707.30067851440754</v>
      </c>
      <c r="J134" s="165">
        <f t="shared" si="83"/>
        <v>783.46439444769157</v>
      </c>
      <c r="K134" s="165">
        <f t="shared" si="83"/>
        <v>-531.92383482739115</v>
      </c>
      <c r="L134" s="165">
        <f t="shared" si="83"/>
        <v>1169.2160273389031</v>
      </c>
    </row>
    <row r="135" spans="2:12" x14ac:dyDescent="0.35">
      <c r="B135" s="160"/>
      <c r="C135" s="178"/>
      <c r="D135" s="178"/>
      <c r="E135" s="178"/>
      <c r="F135" s="178"/>
      <c r="G135" s="178"/>
      <c r="H135" s="70"/>
      <c r="I135" s="70"/>
      <c r="J135" s="70"/>
      <c r="K135" s="70"/>
      <c r="L135" s="70"/>
    </row>
    <row r="136" spans="2:12" x14ac:dyDescent="0.35">
      <c r="B136" s="8" t="s">
        <v>229</v>
      </c>
      <c r="C136" s="166">
        <v>9889</v>
      </c>
      <c r="D136" s="167">
        <f>C137</f>
        <v>8574</v>
      </c>
      <c r="E136" s="167">
        <f>D137</f>
        <v>7441</v>
      </c>
      <c r="F136" s="167">
        <f>E137</f>
        <v>9860</v>
      </c>
      <c r="G136" s="167">
        <f>F137</f>
        <v>7464</v>
      </c>
      <c r="H136" s="193">
        <f>G137</f>
        <v>7563</v>
      </c>
      <c r="I136" s="193">
        <f t="shared" ref="I136:L136" si="84">H137</f>
        <v>7257.4481478971966</v>
      </c>
      <c r="J136" s="193">
        <f t="shared" si="84"/>
        <v>7964.7488264116037</v>
      </c>
      <c r="K136" s="193">
        <f t="shared" si="84"/>
        <v>8748.2132208592957</v>
      </c>
      <c r="L136" s="193">
        <f t="shared" si="84"/>
        <v>8216.2893860319055</v>
      </c>
    </row>
    <row r="137" spans="2:12" x14ac:dyDescent="0.35">
      <c r="B137" s="168" t="s">
        <v>230</v>
      </c>
      <c r="C137" s="169">
        <f t="shared" ref="C137:H137" si="85">C136+C134</f>
        <v>8574</v>
      </c>
      <c r="D137" s="169">
        <f t="shared" si="85"/>
        <v>7441</v>
      </c>
      <c r="E137" s="169">
        <f t="shared" si="85"/>
        <v>9860</v>
      </c>
      <c r="F137" s="169">
        <f t="shared" si="85"/>
        <v>7464</v>
      </c>
      <c r="G137" s="169">
        <f t="shared" si="85"/>
        <v>7563</v>
      </c>
      <c r="H137" s="184">
        <f t="shared" si="85"/>
        <v>7257.4481478971966</v>
      </c>
      <c r="I137" s="184">
        <f t="shared" ref="I137:L137" si="86">I136+I134</f>
        <v>7964.7488264116037</v>
      </c>
      <c r="J137" s="184">
        <f t="shared" si="86"/>
        <v>8748.2132208592957</v>
      </c>
      <c r="K137" s="184">
        <f t="shared" si="86"/>
        <v>8216.2893860319055</v>
      </c>
      <c r="L137" s="184">
        <f t="shared" si="86"/>
        <v>9385.505413370809</v>
      </c>
    </row>
    <row r="138" spans="2:12" x14ac:dyDescent="0.35">
      <c r="B138" s="170" t="s">
        <v>76</v>
      </c>
      <c r="C138" s="171">
        <f t="shared" ref="C138:H138" si="87">C137-C64</f>
        <v>0</v>
      </c>
      <c r="D138" s="171">
        <f t="shared" si="87"/>
        <v>0</v>
      </c>
      <c r="E138" s="171">
        <f t="shared" si="87"/>
        <v>0</v>
      </c>
      <c r="F138" s="171">
        <f t="shared" si="87"/>
        <v>0</v>
      </c>
      <c r="G138" s="171">
        <f t="shared" si="87"/>
        <v>0</v>
      </c>
      <c r="H138" s="184">
        <f t="shared" si="87"/>
        <v>0</v>
      </c>
      <c r="I138" s="184">
        <f t="shared" ref="I138:L138" si="88">I137-I64</f>
        <v>0</v>
      </c>
      <c r="J138" s="184">
        <f t="shared" si="88"/>
        <v>0</v>
      </c>
      <c r="K138" s="184">
        <f t="shared" si="88"/>
        <v>0</v>
      </c>
      <c r="L138" s="184">
        <f t="shared" si="88"/>
        <v>0</v>
      </c>
    </row>
    <row r="139" spans="2:12" x14ac:dyDescent="0.35">
      <c r="B139" s="3"/>
      <c r="C139" s="21"/>
      <c r="D139" s="21"/>
      <c r="E139" s="21"/>
      <c r="F139" s="21"/>
      <c r="G139" s="21"/>
    </row>
    <row r="140" spans="2:12" x14ac:dyDescent="0.35">
      <c r="B140" s="172" t="s">
        <v>77</v>
      </c>
      <c r="C140" s="173"/>
      <c r="D140" s="173"/>
      <c r="E140" s="173"/>
      <c r="F140" s="173"/>
      <c r="G140" s="173"/>
      <c r="H140" s="173"/>
      <c r="I140" s="173"/>
      <c r="J140" s="173"/>
      <c r="K140" s="173"/>
      <c r="L140" s="173"/>
    </row>
    <row r="141" spans="2:12" x14ac:dyDescent="0.35">
      <c r="B141" s="168" t="s">
        <v>48</v>
      </c>
      <c r="C141" s="169">
        <f>C116+C120</f>
        <v>4430</v>
      </c>
      <c r="D141" s="169">
        <f t="shared" ref="D141:G141" si="89">D116+D120</f>
        <v>4872</v>
      </c>
      <c r="E141" s="169">
        <f t="shared" si="89"/>
        <v>6617</v>
      </c>
      <c r="F141" s="169">
        <f t="shared" si="89"/>
        <v>3268</v>
      </c>
      <c r="G141" s="169">
        <f t="shared" si="89"/>
        <v>2184</v>
      </c>
      <c r="H141" s="192">
        <f>H116+H120</f>
        <v>4904.35300873289</v>
      </c>
      <c r="I141" s="192">
        <f t="shared" ref="I141:L141" si="90">I116+I120</f>
        <v>3942.1775130841661</v>
      </c>
      <c r="J141" s="192">
        <f t="shared" si="90"/>
        <v>4043.0243609001964</v>
      </c>
      <c r="K141" s="192">
        <f t="shared" si="90"/>
        <v>4252.0003720803898</v>
      </c>
      <c r="L141" s="192">
        <f t="shared" si="90"/>
        <v>4477.1542117456929</v>
      </c>
    </row>
    <row r="142" spans="2:12" x14ac:dyDescent="0.35">
      <c r="B142" s="174" t="s">
        <v>78</v>
      </c>
      <c r="C142" s="175">
        <f>C141/C28</f>
        <v>9.4840505245129519E-2</v>
      </c>
      <c r="D142" s="175">
        <f t="shared" ref="D142:G142" si="91">D141/D28</f>
        <v>9.5124665638362263E-2</v>
      </c>
      <c r="E142" s="175">
        <f t="shared" si="91"/>
        <v>0.12883065301195437</v>
      </c>
      <c r="F142" s="175">
        <f t="shared" si="91"/>
        <v>7.0569435746831069E-2</v>
      </c>
      <c r="G142" s="175">
        <f t="shared" si="91"/>
        <v>4.7070994439415495E-2</v>
      </c>
      <c r="H142" s="175">
        <f>H141/H28</f>
        <v>0.11418146255676101</v>
      </c>
      <c r="I142" s="175">
        <f t="shared" ref="I142:L142" si="92">I141/I28</f>
        <v>8.9538261486247758E-2</v>
      </c>
      <c r="J142" s="175">
        <f t="shared" si="92"/>
        <v>8.7728420442611116E-2</v>
      </c>
      <c r="K142" s="175">
        <f t="shared" si="92"/>
        <v>8.8133842998675327E-2</v>
      </c>
      <c r="L142" s="175">
        <f t="shared" si="92"/>
        <v>8.8638399677477664E-2</v>
      </c>
    </row>
    <row r="143" spans="2:12" x14ac:dyDescent="0.35">
      <c r="B143" s="174" t="s">
        <v>79</v>
      </c>
      <c r="C143" s="175">
        <f>C141/C49</f>
        <v>0.73271584518690047</v>
      </c>
      <c r="D143" s="175">
        <f t="shared" ref="D143:G143" si="93">D141/D49</f>
        <v>0.96094674556213022</v>
      </c>
      <c r="E143" s="175">
        <f t="shared" si="93"/>
        <v>1.1608771929824562</v>
      </c>
      <c r="F143" s="175">
        <f t="shared" si="93"/>
        <v>1.0152221186703945</v>
      </c>
      <c r="G143" s="175">
        <f t="shared" si="93"/>
        <v>0.70270270270270274</v>
      </c>
      <c r="H143" s="175">
        <f>H141/H49</f>
        <v>1.5410127353658074</v>
      </c>
      <c r="I143" s="175">
        <f t="shared" ref="I143:L143" si="94">I141/I49</f>
        <v>1.1886617874374268</v>
      </c>
      <c r="J143" s="175">
        <f t="shared" si="94"/>
        <v>1.1584474732770469</v>
      </c>
      <c r="K143" s="175">
        <f t="shared" si="94"/>
        <v>1.1574948601207415</v>
      </c>
      <c r="L143" s="175">
        <f t="shared" si="94"/>
        <v>1.1564991043414354</v>
      </c>
    </row>
    <row r="145" spans="2:12" x14ac:dyDescent="0.35">
      <c r="B145" s="43" t="s">
        <v>89</v>
      </c>
      <c r="C145" s="254" t="s">
        <v>55</v>
      </c>
      <c r="D145" s="254"/>
      <c r="E145" s="254"/>
      <c r="F145" s="254"/>
      <c r="G145" s="255"/>
      <c r="H145" s="256" t="s">
        <v>80</v>
      </c>
      <c r="I145" s="254"/>
      <c r="J145" s="254"/>
      <c r="K145" s="254"/>
      <c r="L145" s="254"/>
    </row>
    <row r="146" spans="2:12" x14ac:dyDescent="0.35">
      <c r="B146" s="36" t="s">
        <v>194</v>
      </c>
      <c r="C146" s="38" t="s">
        <v>0</v>
      </c>
      <c r="D146" s="38" t="s">
        <v>1</v>
      </c>
      <c r="E146" s="38" t="s">
        <v>2</v>
      </c>
      <c r="F146" s="38" t="s">
        <v>3</v>
      </c>
      <c r="G146" s="38" t="s">
        <v>4</v>
      </c>
      <c r="H146" s="38" t="s">
        <v>49</v>
      </c>
      <c r="I146" s="38" t="s">
        <v>50</v>
      </c>
      <c r="J146" s="38" t="s">
        <v>51</v>
      </c>
      <c r="K146" s="38" t="s">
        <v>52</v>
      </c>
      <c r="L146" s="38" t="s">
        <v>56</v>
      </c>
    </row>
    <row r="148" spans="2:12" x14ac:dyDescent="0.35">
      <c r="B148" s="131" t="s">
        <v>195</v>
      </c>
      <c r="C148" s="132"/>
      <c r="D148" s="132"/>
      <c r="E148" s="132"/>
      <c r="F148" s="132"/>
      <c r="G148" s="132"/>
      <c r="H148" s="132"/>
      <c r="I148" s="132"/>
      <c r="J148" s="132"/>
      <c r="K148" s="132"/>
      <c r="L148" s="132"/>
    </row>
    <row r="149" spans="2:12" x14ac:dyDescent="0.35">
      <c r="B149" s="2" t="s">
        <v>181</v>
      </c>
      <c r="C149" s="126">
        <f t="shared" ref="C149:L149" si="95">C66</f>
        <v>4667</v>
      </c>
      <c r="D149" s="126">
        <f t="shared" si="95"/>
        <v>4131</v>
      </c>
      <c r="E149" s="126">
        <f t="shared" si="95"/>
        <v>4427</v>
      </c>
      <c r="F149" s="126">
        <f t="shared" si="95"/>
        <v>4717</v>
      </c>
      <c r="G149" s="126">
        <f t="shared" si="95"/>
        <v>5931</v>
      </c>
      <c r="H149" s="126">
        <f t="shared" si="95"/>
        <v>4932.8112592571961</v>
      </c>
      <c r="I149" s="126">
        <f t="shared" si="95"/>
        <v>5056.3356587536146</v>
      </c>
      <c r="J149" s="126">
        <f t="shared" si="95"/>
        <v>5292.6652413896318</v>
      </c>
      <c r="K149" s="126">
        <f t="shared" si="95"/>
        <v>5540.6276373084756</v>
      </c>
      <c r="L149" s="126">
        <f t="shared" si="95"/>
        <v>5800.808450239032</v>
      </c>
    </row>
    <row r="150" spans="2:12" x14ac:dyDescent="0.35">
      <c r="B150" s="2" t="s">
        <v>196</v>
      </c>
      <c r="C150" s="126">
        <f t="shared" ref="C150:L150" si="96">C67</f>
        <v>8420</v>
      </c>
      <c r="D150" s="126">
        <f t="shared" si="96"/>
        <v>8454</v>
      </c>
      <c r="E150" s="126">
        <f t="shared" si="96"/>
        <v>7519</v>
      </c>
      <c r="F150" s="126">
        <f t="shared" si="96"/>
        <v>7489</v>
      </c>
      <c r="G150" s="126">
        <f t="shared" si="96"/>
        <v>7501</v>
      </c>
      <c r="H150" s="126">
        <f t="shared" si="96"/>
        <v>6809.1097617366049</v>
      </c>
      <c r="I150" s="126">
        <f t="shared" si="96"/>
        <v>6979.6192643747345</v>
      </c>
      <c r="J150" s="126">
        <f t="shared" si="96"/>
        <v>7305.8417739212209</v>
      </c>
      <c r="K150" s="126">
        <f t="shared" si="96"/>
        <v>7648.1218819277938</v>
      </c>
      <c r="L150" s="126">
        <f t="shared" si="96"/>
        <v>8007.2679388172264</v>
      </c>
    </row>
    <row r="151" spans="2:12" x14ac:dyDescent="0.35">
      <c r="B151" s="2" t="s">
        <v>197</v>
      </c>
      <c r="C151" s="126">
        <f t="shared" ref="C151:L151" si="97">C80</f>
        <v>3358</v>
      </c>
      <c r="D151" s="126">
        <f t="shared" si="97"/>
        <v>2862</v>
      </c>
      <c r="E151" s="126">
        <f t="shared" si="97"/>
        <v>2851</v>
      </c>
      <c r="F151" s="126">
        <f t="shared" si="97"/>
        <v>3479</v>
      </c>
      <c r="G151" s="126">
        <f t="shared" si="97"/>
        <v>3600</v>
      </c>
      <c r="H151" s="126">
        <f t="shared" si="97"/>
        <v>3215.6212209479627</v>
      </c>
      <c r="I151" s="126">
        <f t="shared" si="97"/>
        <v>3296.144812759856</v>
      </c>
      <c r="J151" s="126">
        <f t="shared" si="97"/>
        <v>3450.2043096919538</v>
      </c>
      <c r="K151" s="126">
        <f t="shared" si="97"/>
        <v>3611.8470526242672</v>
      </c>
      <c r="L151" s="126">
        <f t="shared" si="97"/>
        <v>3781.4547873156966</v>
      </c>
    </row>
    <row r="152" spans="2:12" x14ac:dyDescent="0.35">
      <c r="B152" s="125" t="s">
        <v>198</v>
      </c>
      <c r="C152" s="127">
        <f>C149+C150-C151</f>
        <v>9729</v>
      </c>
      <c r="D152" s="127">
        <f>D149+D150-D151</f>
        <v>9723</v>
      </c>
      <c r="E152" s="127">
        <f t="shared" ref="E152:L152" si="98">E149+E150-E151</f>
        <v>9095</v>
      </c>
      <c r="F152" s="127">
        <f t="shared" si="98"/>
        <v>8727</v>
      </c>
      <c r="G152" s="127">
        <f t="shared" si="98"/>
        <v>9832</v>
      </c>
      <c r="H152" s="127">
        <f t="shared" si="98"/>
        <v>8526.2998000458392</v>
      </c>
      <c r="I152" s="127">
        <f t="shared" si="98"/>
        <v>8739.810110368493</v>
      </c>
      <c r="J152" s="127">
        <f t="shared" si="98"/>
        <v>9148.3027056189003</v>
      </c>
      <c r="K152" s="127">
        <f t="shared" si="98"/>
        <v>9576.9024666120022</v>
      </c>
      <c r="L152" s="127">
        <f t="shared" si="98"/>
        <v>10026.621601740562</v>
      </c>
    </row>
    <row r="153" spans="2:12" x14ac:dyDescent="0.35">
      <c r="B153" s="131" t="s">
        <v>199</v>
      </c>
      <c r="C153" s="215" t="s">
        <v>60</v>
      </c>
      <c r="D153" s="216">
        <f>D152-C152</f>
        <v>-6</v>
      </c>
      <c r="E153" s="216">
        <f t="shared" ref="E153:L153" si="99">E152-D152</f>
        <v>-628</v>
      </c>
      <c r="F153" s="216">
        <f>F152-E152</f>
        <v>-368</v>
      </c>
      <c r="G153" s="216">
        <f t="shared" si="99"/>
        <v>1105</v>
      </c>
      <c r="H153" s="216">
        <f t="shared" si="99"/>
        <v>-1305.7001999541608</v>
      </c>
      <c r="I153" s="216">
        <f t="shared" si="99"/>
        <v>213.51031032265382</v>
      </c>
      <c r="J153" s="216">
        <f t="shared" si="99"/>
        <v>408.49259525040725</v>
      </c>
      <c r="K153" s="216">
        <f t="shared" si="99"/>
        <v>428.59976099310188</v>
      </c>
      <c r="L153" s="216">
        <f t="shared" si="99"/>
        <v>449.71913512856008</v>
      </c>
    </row>
    <row r="155" spans="2:12" x14ac:dyDescent="0.35">
      <c r="B155" s="131" t="s">
        <v>232</v>
      </c>
      <c r="C155" s="131"/>
      <c r="D155" s="131"/>
      <c r="E155" s="131"/>
      <c r="F155" s="131"/>
      <c r="G155" s="131"/>
      <c r="H155" s="131"/>
      <c r="I155" s="131"/>
      <c r="J155" s="131"/>
      <c r="K155" s="131"/>
      <c r="L155" s="131"/>
    </row>
    <row r="156" spans="2:12" x14ac:dyDescent="0.35">
      <c r="B156" s="2" t="s">
        <v>200</v>
      </c>
      <c r="C156" s="19">
        <v>4904</v>
      </c>
      <c r="D156" s="126">
        <f>C160</f>
        <v>4791</v>
      </c>
      <c r="E156" s="126">
        <f>D160</f>
        <v>5081</v>
      </c>
      <c r="F156" s="126">
        <f>E160</f>
        <v>5000</v>
      </c>
      <c r="G156" s="126">
        <f>F160</f>
        <v>4828</v>
      </c>
      <c r="H156" s="126">
        <f>G70</f>
        <v>4796</v>
      </c>
      <c r="I156" s="130">
        <f>H160</f>
        <v>4726.3825580627154</v>
      </c>
      <c r="J156" s="130">
        <f>I160</f>
        <v>4655.0217993314545</v>
      </c>
      <c r="K156" s="130">
        <f>J160</f>
        <v>4580.325688783043</v>
      </c>
      <c r="L156" s="130">
        <f>K160</f>
        <v>4502.1300509279436</v>
      </c>
    </row>
    <row r="157" spans="2:12" x14ac:dyDescent="0.35">
      <c r="B157" s="2" t="s">
        <v>238</v>
      </c>
      <c r="C157" s="204">
        <v>-31</v>
      </c>
      <c r="D157" s="204">
        <v>180</v>
      </c>
      <c r="E157" s="204">
        <f>E70-E156-E158+E159</f>
        <v>-97</v>
      </c>
      <c r="F157" s="204">
        <f t="shared" ref="F157:G157" si="100">F70-F156-F158+F159</f>
        <v>173</v>
      </c>
      <c r="G157" s="204">
        <f t="shared" si="100"/>
        <v>31</v>
      </c>
      <c r="H157" s="126">
        <v>0</v>
      </c>
      <c r="I157" s="126">
        <v>0</v>
      </c>
      <c r="J157" s="126">
        <v>0</v>
      </c>
      <c r="K157" s="126">
        <v>0</v>
      </c>
      <c r="L157" s="126">
        <v>0</v>
      </c>
    </row>
    <row r="158" spans="2:12" x14ac:dyDescent="0.35">
      <c r="B158" s="2" t="s">
        <v>201</v>
      </c>
      <c r="C158" s="129">
        <v>758</v>
      </c>
      <c r="D158" s="129">
        <v>969</v>
      </c>
      <c r="E158" s="129">
        <v>812</v>
      </c>
      <c r="F158" s="129">
        <v>430</v>
      </c>
      <c r="G158" s="129">
        <v>684</v>
      </c>
      <c r="H158" s="130">
        <f>H28*H18</f>
        <v>644.14752964076717</v>
      </c>
      <c r="I158" s="130">
        <f>I28*I18</f>
        <v>660.27787248262132</v>
      </c>
      <c r="J158" s="130">
        <f>J28*J18</f>
        <v>691.13879718358942</v>
      </c>
      <c r="K158" s="130">
        <f>K28*K18</f>
        <v>723.51878424982499</v>
      </c>
      <c r="L158" s="130">
        <f>L28*L18</f>
        <v>757.49430431348571</v>
      </c>
    </row>
    <row r="159" spans="2:12" x14ac:dyDescent="0.35">
      <c r="B159" s="2" t="s">
        <v>233</v>
      </c>
      <c r="C159" s="126">
        <f>C108</f>
        <v>840</v>
      </c>
      <c r="D159" s="126">
        <f>D108</f>
        <v>859</v>
      </c>
      <c r="E159" s="126">
        <f>E108</f>
        <v>796</v>
      </c>
      <c r="F159" s="126">
        <f>F108</f>
        <v>775</v>
      </c>
      <c r="G159" s="126">
        <f>G108</f>
        <v>747</v>
      </c>
      <c r="H159" s="130">
        <f>H28*H12</f>
        <v>713.76497157805159</v>
      </c>
      <c r="I159" s="130">
        <f>I28*I12</f>
        <v>731.63863121388226</v>
      </c>
      <c r="J159" s="130">
        <f>J28*J12</f>
        <v>765.83490773200128</v>
      </c>
      <c r="K159" s="130">
        <f>K28*K12</f>
        <v>801.71442210492512</v>
      </c>
      <c r="L159" s="130">
        <f>L28*L12</f>
        <v>839.36190967056484</v>
      </c>
    </row>
    <row r="160" spans="2:12" x14ac:dyDescent="0.35">
      <c r="B160" s="9" t="s">
        <v>202</v>
      </c>
      <c r="C160" s="133">
        <f>C156+C157+C158-C159</f>
        <v>4791</v>
      </c>
      <c r="D160" s="133">
        <f t="shared" ref="D160:L160" si="101">D156+D157+D158-D159</f>
        <v>5081</v>
      </c>
      <c r="E160" s="133">
        <f t="shared" si="101"/>
        <v>5000</v>
      </c>
      <c r="F160" s="133">
        <f t="shared" si="101"/>
        <v>4828</v>
      </c>
      <c r="G160" s="133">
        <f t="shared" si="101"/>
        <v>4796</v>
      </c>
      <c r="H160" s="133">
        <f t="shared" si="101"/>
        <v>4726.3825580627154</v>
      </c>
      <c r="I160" s="133">
        <f t="shared" si="101"/>
        <v>4655.0217993314545</v>
      </c>
      <c r="J160" s="133">
        <f t="shared" si="101"/>
        <v>4580.325688783043</v>
      </c>
      <c r="K160" s="133">
        <f t="shared" si="101"/>
        <v>4502.1300509279436</v>
      </c>
      <c r="L160" s="133">
        <f t="shared" si="101"/>
        <v>4420.2624455708637</v>
      </c>
    </row>
    <row r="161" spans="2:12" x14ac:dyDescent="0.35">
      <c r="B161" s="6"/>
      <c r="C161" s="217"/>
      <c r="D161" s="217"/>
      <c r="E161" s="217"/>
      <c r="F161" s="217"/>
      <c r="G161" s="217"/>
      <c r="H161" s="217"/>
      <c r="I161" s="217"/>
      <c r="J161" s="217"/>
      <c r="K161" s="217"/>
      <c r="L161" s="217"/>
    </row>
    <row r="162" spans="2:12" x14ac:dyDescent="0.35">
      <c r="B162" s="150" t="s">
        <v>203</v>
      </c>
      <c r="C162" s="150"/>
      <c r="D162" s="131"/>
      <c r="E162" s="131"/>
      <c r="F162" s="131"/>
      <c r="G162" s="131"/>
      <c r="H162" s="131"/>
      <c r="I162" s="131"/>
      <c r="J162" s="131"/>
      <c r="K162" s="131"/>
      <c r="L162" s="131"/>
    </row>
    <row r="163" spans="2:12" x14ac:dyDescent="0.35">
      <c r="B163" s="2" t="s">
        <v>204</v>
      </c>
      <c r="C163" s="134">
        <v>9415</v>
      </c>
      <c r="D163" s="126">
        <f>C165</f>
        <v>9430</v>
      </c>
      <c r="E163" s="126">
        <f>D165</f>
        <v>8933</v>
      </c>
      <c r="F163" s="126">
        <f>E165</f>
        <v>8909</v>
      </c>
      <c r="G163" s="126">
        <f>F165</f>
        <v>7961</v>
      </c>
      <c r="H163" s="126">
        <f>G78+G79+G85</f>
        <v>7942</v>
      </c>
      <c r="I163" s="126">
        <f>H165</f>
        <v>5942</v>
      </c>
      <c r="J163" s="126">
        <f t="shared" ref="J163:L163" si="102">I165</f>
        <v>5942</v>
      </c>
      <c r="K163" s="126">
        <f t="shared" si="102"/>
        <v>5942</v>
      </c>
      <c r="L163" s="126">
        <f t="shared" si="102"/>
        <v>4442</v>
      </c>
    </row>
    <row r="164" spans="2:12" x14ac:dyDescent="0.35">
      <c r="B164" s="2" t="s">
        <v>205</v>
      </c>
      <c r="C164" s="184">
        <f>C127</f>
        <v>15</v>
      </c>
      <c r="D164" s="184">
        <f>D127</f>
        <v>-504</v>
      </c>
      <c r="E164" s="184">
        <f>E127</f>
        <v>0</v>
      </c>
      <c r="F164" s="184">
        <f>F127</f>
        <v>-1000</v>
      </c>
      <c r="G164" s="184">
        <f>G127</f>
        <v>0</v>
      </c>
      <c r="H164" s="196">
        <v>-2000</v>
      </c>
      <c r="I164" s="196">
        <v>0</v>
      </c>
      <c r="J164" s="196">
        <v>0</v>
      </c>
      <c r="K164" s="196">
        <v>-1500</v>
      </c>
      <c r="L164" s="196">
        <v>0</v>
      </c>
    </row>
    <row r="165" spans="2:12" x14ac:dyDescent="0.35">
      <c r="B165" s="154" t="s">
        <v>206</v>
      </c>
      <c r="C165" s="214">
        <f>C78+C79+C85</f>
        <v>9430</v>
      </c>
      <c r="D165" s="214">
        <f>D78+D79+D85</f>
        <v>8933</v>
      </c>
      <c r="E165" s="214">
        <f>E78+E79+E85</f>
        <v>8909</v>
      </c>
      <c r="F165" s="214">
        <f>F78+F79+F85</f>
        <v>7961</v>
      </c>
      <c r="G165" s="214">
        <f>G78+G79+G85</f>
        <v>7942</v>
      </c>
      <c r="H165" s="214">
        <f>H163+H164</f>
        <v>5942</v>
      </c>
      <c r="I165" s="214">
        <f>I163+I164</f>
        <v>5942</v>
      </c>
      <c r="J165" s="214">
        <f>J163+J164</f>
        <v>5942</v>
      </c>
      <c r="K165" s="214">
        <f>K163+K164</f>
        <v>4442</v>
      </c>
      <c r="L165" s="214">
        <f>L163+L164</f>
        <v>4442</v>
      </c>
    </row>
    <row r="166" spans="2:12" x14ac:dyDescent="0.35">
      <c r="B166" s="128" t="s">
        <v>207</v>
      </c>
      <c r="C166" s="134">
        <f>C41</f>
        <v>205</v>
      </c>
      <c r="D166" s="134">
        <f>D41</f>
        <v>-6</v>
      </c>
      <c r="E166" s="134">
        <f>E41</f>
        <v>-161</v>
      </c>
      <c r="F166" s="134">
        <f>F41</f>
        <v>-107</v>
      </c>
      <c r="G166" s="134">
        <f>G41</f>
        <v>-50</v>
      </c>
      <c r="H166" s="134">
        <f>H163*Notes!$C$57-(G64+G65)*Notes!$C$58</f>
        <v>-38.465902031063308</v>
      </c>
      <c r="I166" s="134">
        <f>I163*I13-(H64+H65)*Notes!$C$58</f>
        <v>-107.48636080238731</v>
      </c>
      <c r="J166" s="134">
        <f>J163*J13-(I64+I65)*Notes!$C$58</f>
        <v>-135.77838794296355</v>
      </c>
      <c r="K166" s="134">
        <f>K163*K13-(J64+J65)*Notes!$C$58</f>
        <v>-167.11696372087124</v>
      </c>
      <c r="L166" s="134">
        <f>L163*L13-(K64+K65)*Notes!$C$58</f>
        <v>-206.77190996935272</v>
      </c>
    </row>
    <row r="167" spans="2:12" x14ac:dyDescent="0.35">
      <c r="C167" s="226" t="str">
        <f>RIGHT(C169,4)</f>
        <v>2022</v>
      </c>
      <c r="D167" s="226" t="str">
        <f t="shared" ref="D167:L167" si="103">RIGHT(D169,4)</f>
        <v>2023</v>
      </c>
      <c r="E167" s="226" t="str">
        <f t="shared" si="103"/>
        <v>2024</v>
      </c>
      <c r="F167" s="226" t="str">
        <f t="shared" si="103"/>
        <v>2025</v>
      </c>
      <c r="G167" s="226" t="str">
        <f t="shared" si="103"/>
        <v>2026</v>
      </c>
      <c r="H167" s="226" t="str">
        <f t="shared" si="103"/>
        <v>2027</v>
      </c>
      <c r="I167" s="226" t="str">
        <f t="shared" si="103"/>
        <v>2028</v>
      </c>
      <c r="J167" s="226" t="str">
        <f t="shared" si="103"/>
        <v>2029</v>
      </c>
      <c r="K167" s="226" t="str">
        <f t="shared" si="103"/>
        <v>2030</v>
      </c>
      <c r="L167" s="226" t="str">
        <f t="shared" si="103"/>
        <v>2031</v>
      </c>
    </row>
    <row r="168" spans="2:12" x14ac:dyDescent="0.35">
      <c r="B168" s="43" t="s">
        <v>89</v>
      </c>
      <c r="C168" s="254" t="s">
        <v>55</v>
      </c>
      <c r="D168" s="254"/>
      <c r="E168" s="254"/>
      <c r="F168" s="254"/>
      <c r="G168" s="255"/>
      <c r="H168" s="256" t="s">
        <v>80</v>
      </c>
      <c r="I168" s="254"/>
      <c r="J168" s="254"/>
      <c r="K168" s="254"/>
      <c r="L168" s="254"/>
    </row>
    <row r="169" spans="2:12" x14ac:dyDescent="0.35">
      <c r="B169" s="36" t="s">
        <v>239</v>
      </c>
      <c r="C169" s="38" t="s">
        <v>0</v>
      </c>
      <c r="D169" s="38" t="s">
        <v>1</v>
      </c>
      <c r="E169" s="38" t="s">
        <v>2</v>
      </c>
      <c r="F169" s="38" t="s">
        <v>3</v>
      </c>
      <c r="G169" s="38" t="s">
        <v>4</v>
      </c>
      <c r="H169" s="38" t="s">
        <v>49</v>
      </c>
      <c r="I169" s="38" t="s">
        <v>50</v>
      </c>
      <c r="J169" s="38" t="s">
        <v>51</v>
      </c>
      <c r="K169" s="38" t="s">
        <v>52</v>
      </c>
      <c r="L169" s="38" t="s">
        <v>56</v>
      </c>
    </row>
    <row r="171" spans="2:12" x14ac:dyDescent="0.35">
      <c r="B171" s="218" t="s">
        <v>91</v>
      </c>
      <c r="C171" s="219">
        <f>C28</f>
        <v>46710</v>
      </c>
      <c r="D171" s="219">
        <f t="shared" ref="D171:L171" si="104">D28</f>
        <v>51217</v>
      </c>
      <c r="E171" s="219">
        <f t="shared" si="104"/>
        <v>51362</v>
      </c>
      <c r="F171" s="219">
        <f t="shared" si="104"/>
        <v>46309</v>
      </c>
      <c r="G171" s="219">
        <f t="shared" si="104"/>
        <v>46398</v>
      </c>
      <c r="H171" s="219">
        <f t="shared" si="104"/>
        <v>42952.270000000004</v>
      </c>
      <c r="I171" s="219">
        <f t="shared" si="104"/>
        <v>44027.854100000004</v>
      </c>
      <c r="J171" s="219">
        <f t="shared" si="104"/>
        <v>46085.685123499999</v>
      </c>
      <c r="K171" s="219">
        <f t="shared" si="104"/>
        <v>48244.808434647501</v>
      </c>
      <c r="L171" s="219">
        <f t="shared" si="104"/>
        <v>50510.323156063292</v>
      </c>
    </row>
    <row r="172" spans="2:12" x14ac:dyDescent="0.35">
      <c r="B172" s="220" t="s">
        <v>240</v>
      </c>
      <c r="C172" s="221">
        <f>C32</f>
        <v>0.45983729394134021</v>
      </c>
      <c r="D172" s="221">
        <f t="shared" ref="D172:L172" si="105">D32</f>
        <v>0.43524610969014194</v>
      </c>
      <c r="E172" s="221">
        <f t="shared" si="105"/>
        <v>0.44560180678322497</v>
      </c>
      <c r="F172" s="221">
        <f t="shared" si="105"/>
        <v>0.42734673605562634</v>
      </c>
      <c r="G172" s="221">
        <f t="shared" si="105"/>
        <v>0.42913487650329757</v>
      </c>
      <c r="H172" s="221">
        <f t="shared" si="105"/>
        <v>0.43943336459472615</v>
      </c>
      <c r="I172" s="221">
        <f t="shared" si="105"/>
        <v>0.43943336459472615</v>
      </c>
      <c r="J172" s="221">
        <f t="shared" si="105"/>
        <v>0.43943336459472615</v>
      </c>
      <c r="K172" s="221">
        <f t="shared" si="105"/>
        <v>0.43943336459472615</v>
      </c>
      <c r="L172" s="221">
        <f t="shared" si="105"/>
        <v>0.43943336459472615</v>
      </c>
    </row>
    <row r="173" spans="2:12" x14ac:dyDescent="0.35">
      <c r="B173" s="220"/>
      <c r="C173" s="222"/>
      <c r="D173" s="222"/>
      <c r="E173" s="222"/>
      <c r="F173" s="222"/>
      <c r="G173" s="222"/>
      <c r="H173" s="222"/>
      <c r="I173" s="222"/>
      <c r="J173" s="222"/>
      <c r="K173" s="222"/>
      <c r="L173" s="222"/>
    </row>
    <row r="174" spans="2:12" x14ac:dyDescent="0.35">
      <c r="B174" s="220" t="s">
        <v>241</v>
      </c>
      <c r="C174" s="223">
        <f>C116</f>
        <v>5188</v>
      </c>
      <c r="D174" s="223">
        <f t="shared" ref="D174:L174" si="106">D116</f>
        <v>5841</v>
      </c>
      <c r="E174" s="223">
        <f t="shared" si="106"/>
        <v>7429</v>
      </c>
      <c r="F174" s="223">
        <f t="shared" si="106"/>
        <v>3698</v>
      </c>
      <c r="G174" s="223">
        <f t="shared" si="106"/>
        <v>2868</v>
      </c>
      <c r="H174" s="223">
        <f t="shared" si="106"/>
        <v>5548.500538373657</v>
      </c>
      <c r="I174" s="223">
        <f t="shared" si="106"/>
        <v>4602.4553855667873</v>
      </c>
      <c r="J174" s="223">
        <f t="shared" si="106"/>
        <v>4734.1631580837857</v>
      </c>
      <c r="K174" s="223">
        <f t="shared" si="106"/>
        <v>4975.5191563302151</v>
      </c>
      <c r="L174" s="223">
        <f t="shared" si="106"/>
        <v>5234.6485160591783</v>
      </c>
    </row>
    <row r="175" spans="2:12" x14ac:dyDescent="0.35">
      <c r="B175" s="220" t="s">
        <v>242</v>
      </c>
      <c r="C175" s="223">
        <f>C123</f>
        <v>-1524</v>
      </c>
      <c r="D175" s="223">
        <f t="shared" ref="D175:L175" si="107">D123</f>
        <v>564</v>
      </c>
      <c r="E175" s="223">
        <f t="shared" si="107"/>
        <v>894</v>
      </c>
      <c r="F175" s="223">
        <f t="shared" si="107"/>
        <v>-275</v>
      </c>
      <c r="G175" s="223">
        <f t="shared" si="107"/>
        <v>-488</v>
      </c>
      <c r="H175" s="223">
        <f t="shared" si="107"/>
        <v>-644.14752964076717</v>
      </c>
      <c r="I175" s="223">
        <f t="shared" si="107"/>
        <v>-660.27787248262132</v>
      </c>
      <c r="J175" s="223">
        <f t="shared" si="107"/>
        <v>-691.13879718358942</v>
      </c>
      <c r="K175" s="223">
        <f t="shared" si="107"/>
        <v>-723.51878424982499</v>
      </c>
      <c r="L175" s="223">
        <f t="shared" si="107"/>
        <v>-757.49430431348571</v>
      </c>
    </row>
    <row r="176" spans="2:12" x14ac:dyDescent="0.35">
      <c r="B176" s="224" t="s">
        <v>243</v>
      </c>
      <c r="C176" s="225">
        <f>C131</f>
        <v>-4836</v>
      </c>
      <c r="D176" s="225">
        <f t="shared" ref="D176:L176" si="108">D131</f>
        <v>-7447</v>
      </c>
      <c r="E176" s="225">
        <f t="shared" si="108"/>
        <v>-5888</v>
      </c>
      <c r="F176" s="225">
        <f t="shared" si="108"/>
        <v>-5820</v>
      </c>
      <c r="G176" s="225">
        <f t="shared" si="108"/>
        <v>-2292</v>
      </c>
      <c r="H176" s="225">
        <f t="shared" si="108"/>
        <v>-5209.9048608356934</v>
      </c>
      <c r="I176" s="225">
        <f t="shared" si="108"/>
        <v>-3234.8768345697586</v>
      </c>
      <c r="J176" s="225">
        <f t="shared" si="108"/>
        <v>-3259.5599664525048</v>
      </c>
      <c r="K176" s="225">
        <f t="shared" si="108"/>
        <v>-4783.9242069077809</v>
      </c>
      <c r="L176" s="225">
        <f t="shared" si="108"/>
        <v>-3307.9381844067898</v>
      </c>
    </row>
  </sheetData>
  <mergeCells count="12">
    <mergeCell ref="C168:G168"/>
    <mergeCell ref="H168:L168"/>
    <mergeCell ref="C5:G5"/>
    <mergeCell ref="H5:L5"/>
    <mergeCell ref="C145:G145"/>
    <mergeCell ref="H145:L145"/>
    <mergeCell ref="C25:G25"/>
    <mergeCell ref="H25:L25"/>
    <mergeCell ref="C60:G60"/>
    <mergeCell ref="H60:L60"/>
    <mergeCell ref="C102:G102"/>
    <mergeCell ref="H102:L10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42"/>
  <sheetViews>
    <sheetView showGridLines="0" topLeftCell="A7" workbookViewId="0">
      <selection activeCell="B4" sqref="B4"/>
    </sheetView>
  </sheetViews>
  <sheetFormatPr defaultRowHeight="14.5" x14ac:dyDescent="0.35"/>
  <cols>
    <col min="1" max="1" width="2.1796875" style="23" customWidth="1"/>
    <col min="2" max="2" width="52.90625" bestFit="1" customWidth="1"/>
  </cols>
  <sheetData>
    <row r="2" spans="2:12" ht="21" x14ac:dyDescent="0.35">
      <c r="B2" s="31" t="s">
        <v>53</v>
      </c>
      <c r="C2" s="32"/>
      <c r="D2" s="32"/>
      <c r="E2" s="32"/>
      <c r="F2" s="32"/>
      <c r="G2" s="32"/>
      <c r="H2" s="31"/>
      <c r="I2" s="31"/>
      <c r="J2" s="85"/>
      <c r="K2" s="31"/>
      <c r="L2" s="31"/>
    </row>
    <row r="3" spans="2:12" ht="18.5" x14ac:dyDescent="0.35">
      <c r="B3" s="33" t="s">
        <v>247</v>
      </c>
      <c r="C3" s="34"/>
      <c r="D3" s="34"/>
      <c r="E3" s="34"/>
      <c r="F3" s="34"/>
      <c r="G3" s="34"/>
      <c r="H3" s="35"/>
      <c r="I3" s="35"/>
      <c r="J3" s="35"/>
      <c r="K3" s="35"/>
      <c r="L3" s="35"/>
    </row>
    <row r="4" spans="2:12" x14ac:dyDescent="0.35">
      <c r="B4" s="1"/>
      <c r="C4" s="13"/>
      <c r="D4" s="13"/>
      <c r="E4" s="13"/>
      <c r="F4" s="13"/>
      <c r="G4" s="13"/>
    </row>
    <row r="5" spans="2:12" x14ac:dyDescent="0.35">
      <c r="B5" s="43" t="s">
        <v>89</v>
      </c>
      <c r="C5" s="254" t="s">
        <v>55</v>
      </c>
      <c r="D5" s="254"/>
      <c r="E5" s="254"/>
      <c r="F5" s="254"/>
      <c r="G5" s="255"/>
      <c r="H5" s="256" t="s">
        <v>80</v>
      </c>
      <c r="I5" s="254"/>
      <c r="J5" s="254"/>
      <c r="K5" s="254"/>
      <c r="L5" s="254"/>
    </row>
    <row r="6" spans="2:12" x14ac:dyDescent="0.35">
      <c r="B6" s="36" t="s">
        <v>91</v>
      </c>
      <c r="C6" s="37" t="s">
        <v>0</v>
      </c>
      <c r="D6" s="37" t="s">
        <v>1</v>
      </c>
      <c r="E6" s="37" t="s">
        <v>2</v>
      </c>
      <c r="F6" s="37" t="s">
        <v>3</v>
      </c>
      <c r="G6" s="37" t="s">
        <v>4</v>
      </c>
      <c r="H6" s="37" t="s">
        <v>49</v>
      </c>
      <c r="I6" s="37" t="s">
        <v>50</v>
      </c>
      <c r="J6" s="37" t="s">
        <v>51</v>
      </c>
      <c r="K6" s="37" t="s">
        <v>52</v>
      </c>
      <c r="L6" s="37" t="s">
        <v>56</v>
      </c>
    </row>
    <row r="8" spans="2:12" x14ac:dyDescent="0.35">
      <c r="B8" s="54" t="s">
        <v>92</v>
      </c>
      <c r="C8" s="55">
        <v>18353</v>
      </c>
      <c r="D8" s="55">
        <v>21608</v>
      </c>
      <c r="E8" s="55">
        <v>21396</v>
      </c>
      <c r="F8" s="55">
        <v>19572</v>
      </c>
      <c r="G8" s="55">
        <v>20511</v>
      </c>
      <c r="H8" s="75">
        <f>G8*(1+Notes!C11)</f>
        <v>20511</v>
      </c>
      <c r="I8" s="75">
        <f>H8*(1+Notes!C17)</f>
        <v>21331.440000000002</v>
      </c>
      <c r="J8" s="75">
        <f>I8*(1+Notes!C23)</f>
        <v>22398.012000000002</v>
      </c>
      <c r="K8" s="75">
        <f>J8*(1+Notes!C23)</f>
        <v>23517.912600000003</v>
      </c>
      <c r="L8" s="75">
        <f>K8*(1+Notes!C23)</f>
        <v>24693.808230000006</v>
      </c>
    </row>
    <row r="9" spans="2:12" x14ac:dyDescent="0.35">
      <c r="B9" s="54" t="s">
        <v>93</v>
      </c>
      <c r="C9" s="55">
        <v>12479</v>
      </c>
      <c r="D9" s="55">
        <v>13418</v>
      </c>
      <c r="E9" s="55">
        <v>13607</v>
      </c>
      <c r="F9" s="55">
        <v>12257</v>
      </c>
      <c r="G9" s="55">
        <v>12572</v>
      </c>
      <c r="H9" s="75">
        <f>G9*(1+Notes!C12)</f>
        <v>11314.800000000001</v>
      </c>
      <c r="I9" s="75">
        <f>H9*(1+Notes!C18)</f>
        <v>11654.244000000001</v>
      </c>
      <c r="J9" s="75">
        <f>I9*(1+Notes!C24)</f>
        <v>12178.68498</v>
      </c>
      <c r="K9" s="75">
        <f>J9*(1+Notes!C24)</f>
        <v>12726.725804099999</v>
      </c>
      <c r="L9" s="75">
        <f>K9*(1+Notes!C24)</f>
        <v>13299.428465284498</v>
      </c>
    </row>
    <row r="10" spans="2:12" x14ac:dyDescent="0.35">
      <c r="B10" s="54" t="s">
        <v>94</v>
      </c>
      <c r="C10" s="55">
        <v>7547</v>
      </c>
      <c r="D10" s="55">
        <v>7248</v>
      </c>
      <c r="E10" s="55">
        <v>7545</v>
      </c>
      <c r="F10" s="55">
        <v>6586</v>
      </c>
      <c r="G10" s="55">
        <v>5847</v>
      </c>
      <c r="H10" s="75">
        <f>G10*(1+Notes!C13)</f>
        <v>4385.25</v>
      </c>
      <c r="I10" s="75">
        <f>H10*(1+Notes!C19)</f>
        <v>4165.9875000000002</v>
      </c>
      <c r="J10" s="75">
        <f>I10*(1+Notes!C25)</f>
        <v>4270.1371874999995</v>
      </c>
      <c r="K10" s="75">
        <f>J10*(1+Notes!C25)</f>
        <v>4376.8906171874987</v>
      </c>
      <c r="L10" s="75">
        <f>K10*(1+Notes!C25)</f>
        <v>4486.312882617186</v>
      </c>
    </row>
    <row r="11" spans="2:12" x14ac:dyDescent="0.35">
      <c r="B11" s="54" t="s">
        <v>95</v>
      </c>
      <c r="C11" s="55">
        <v>5955</v>
      </c>
      <c r="D11" s="55">
        <v>6431</v>
      </c>
      <c r="E11" s="55">
        <v>6729</v>
      </c>
      <c r="F11" s="55">
        <v>6251</v>
      </c>
      <c r="G11" s="55">
        <v>6243</v>
      </c>
      <c r="H11" s="75">
        <f>G11*(1+Notes!C14)</f>
        <v>5868.42</v>
      </c>
      <c r="I11" s="75">
        <f>H11*(1+Notes!C20)</f>
        <v>6044.4726000000001</v>
      </c>
      <c r="J11" s="75">
        <f>I11*(1+Notes!C26)</f>
        <v>6407.1409560000002</v>
      </c>
      <c r="K11" s="75">
        <f>J11*(1+Notes!C26)</f>
        <v>6791.5694133600009</v>
      </c>
      <c r="L11" s="75">
        <f>K11*(1+Notes!C26)</f>
        <v>7199.0635781616011</v>
      </c>
    </row>
    <row r="12" spans="2:12" x14ac:dyDescent="0.35">
      <c r="B12" s="56" t="s">
        <v>96</v>
      </c>
      <c r="C12" s="57">
        <v>102</v>
      </c>
      <c r="D12" s="57">
        <v>58</v>
      </c>
      <c r="E12" s="57">
        <v>45</v>
      </c>
      <c r="F12" s="57">
        <v>48</v>
      </c>
      <c r="G12" s="57">
        <v>49</v>
      </c>
      <c r="H12" s="4">
        <f>G12*(1+Notes!$C$29)</f>
        <v>49</v>
      </c>
      <c r="I12" s="4">
        <f>H12*(1+Notes!$C$29)</f>
        <v>49</v>
      </c>
      <c r="J12" s="4">
        <f>I12*(1+Notes!$C$29)</f>
        <v>49</v>
      </c>
      <c r="K12" s="4">
        <f>J12*(1+Notes!$C$29)</f>
        <v>49</v>
      </c>
      <c r="L12" s="4">
        <f>K12*(1+Notes!$C$29)</f>
        <v>49</v>
      </c>
    </row>
    <row r="13" spans="2:12" x14ac:dyDescent="0.35">
      <c r="B13" s="59" t="s">
        <v>97</v>
      </c>
      <c r="C13" s="60">
        <f>SUM(C8:C12)</f>
        <v>44436</v>
      </c>
      <c r="D13" s="60">
        <f t="shared" ref="D13:G13" si="0">SUM(D8:D12)</f>
        <v>48763</v>
      </c>
      <c r="E13" s="60">
        <f t="shared" si="0"/>
        <v>49322</v>
      </c>
      <c r="F13" s="60">
        <f t="shared" si="0"/>
        <v>44714</v>
      </c>
      <c r="G13" s="60">
        <f t="shared" si="0"/>
        <v>45222</v>
      </c>
      <c r="H13" s="60">
        <f t="shared" ref="H13" si="1">SUM(H8:H12)</f>
        <v>42128.47</v>
      </c>
      <c r="I13" s="60">
        <f t="shared" ref="I13" si="2">SUM(I8:I12)</f>
        <v>43245.144100000005</v>
      </c>
      <c r="J13" s="60">
        <f t="shared" ref="J13" si="3">SUM(J8:J12)</f>
        <v>45302.9751235</v>
      </c>
      <c r="K13" s="60">
        <f t="shared" ref="K13" si="4">SUM(K8:K12)</f>
        <v>47462.098434647502</v>
      </c>
      <c r="L13" s="60">
        <f t="shared" ref="L13" si="5">SUM(L8:L12)</f>
        <v>49727.613156063293</v>
      </c>
    </row>
    <row r="14" spans="2:12" x14ac:dyDescent="0.35">
      <c r="B14" s="54" t="s">
        <v>98</v>
      </c>
      <c r="C14" s="55">
        <v>2346</v>
      </c>
      <c r="D14" s="55">
        <v>2427</v>
      </c>
      <c r="E14" s="55">
        <v>2082</v>
      </c>
      <c r="F14" s="55">
        <v>1692</v>
      </c>
      <c r="G14" s="55">
        <v>1174</v>
      </c>
      <c r="H14" s="4">
        <f>G14*(1+Notes!C$15)</f>
        <v>821.8</v>
      </c>
      <c r="I14" s="4">
        <f>H14*(1+Notes!C21)</f>
        <v>780.70999999999992</v>
      </c>
      <c r="J14" s="4">
        <f>I14*(1+Notes!C27)</f>
        <v>780.70999999999992</v>
      </c>
      <c r="K14" s="4">
        <f>J14*(1+Notes!C27)</f>
        <v>780.70999999999992</v>
      </c>
      <c r="L14" s="4">
        <f>K14*(1+Notes!C27)</f>
        <v>780.70999999999992</v>
      </c>
    </row>
    <row r="15" spans="2:12" ht="15" thickBot="1" x14ac:dyDescent="0.4">
      <c r="B15" s="64" t="s">
        <v>99</v>
      </c>
      <c r="C15" s="65">
        <v>-72</v>
      </c>
      <c r="D15" s="65">
        <v>27</v>
      </c>
      <c r="E15" s="65">
        <v>-42</v>
      </c>
      <c r="F15" s="65">
        <v>-97</v>
      </c>
      <c r="G15" s="65">
        <v>2</v>
      </c>
      <c r="H15" s="66">
        <f>G15*(1+Notes!$C$29)</f>
        <v>2</v>
      </c>
      <c r="I15" s="66">
        <f>H15*(1+Notes!$C$29)</f>
        <v>2</v>
      </c>
      <c r="J15" s="66">
        <f>I15*(1+Notes!$C$29)</f>
        <v>2</v>
      </c>
      <c r="K15" s="66">
        <f>J15*(1+Notes!$C$29)</f>
        <v>2</v>
      </c>
      <c r="L15" s="66">
        <f>K15*(1+Notes!$C$29)</f>
        <v>2</v>
      </c>
    </row>
    <row r="16" spans="2:12" ht="15" thickTop="1" x14ac:dyDescent="0.35">
      <c r="B16" s="53" t="s">
        <v>100</v>
      </c>
      <c r="C16" s="58">
        <f t="shared" ref="C16:L16" si="6">C13+C14+C15</f>
        <v>46710</v>
      </c>
      <c r="D16" s="58">
        <f t="shared" si="6"/>
        <v>51217</v>
      </c>
      <c r="E16" s="58">
        <f t="shared" si="6"/>
        <v>51362</v>
      </c>
      <c r="F16" s="58">
        <f t="shared" si="6"/>
        <v>46309</v>
      </c>
      <c r="G16" s="58">
        <f t="shared" si="6"/>
        <v>46398</v>
      </c>
      <c r="H16" s="58">
        <f t="shared" si="6"/>
        <v>42952.270000000004</v>
      </c>
      <c r="I16" s="58">
        <f t="shared" si="6"/>
        <v>44027.854100000004</v>
      </c>
      <c r="J16" s="58">
        <f t="shared" si="6"/>
        <v>46085.685123499999</v>
      </c>
      <c r="K16" s="58">
        <f t="shared" si="6"/>
        <v>48244.808434647501</v>
      </c>
      <c r="L16" s="58">
        <f t="shared" si="6"/>
        <v>50510.323156063292</v>
      </c>
    </row>
    <row r="17" spans="2:12" x14ac:dyDescent="0.35">
      <c r="B17" s="61" t="s">
        <v>101</v>
      </c>
      <c r="C17" s="62" t="s">
        <v>60</v>
      </c>
      <c r="D17" s="63">
        <f t="shared" ref="D17:G17" si="7">D16/C16-1</f>
        <v>9.6488974523656568E-2</v>
      </c>
      <c r="E17" s="63">
        <f t="shared" si="7"/>
        <v>2.8310912392370824E-3</v>
      </c>
      <c r="F17" s="63">
        <f t="shared" si="7"/>
        <v>-9.8380125384525563E-2</v>
      </c>
      <c r="G17" s="63">
        <f t="shared" si="7"/>
        <v>1.9218726381480256E-3</v>
      </c>
      <c r="H17" s="63">
        <f>H16/G16-1</f>
        <v>-7.4264623475149727E-2</v>
      </c>
      <c r="I17" s="63">
        <f t="shared" ref="I17" si="8">I16/H16-1</f>
        <v>2.504137965234432E-2</v>
      </c>
      <c r="J17" s="63">
        <f t="shared" ref="J17" si="9">J16/I16-1</f>
        <v>4.6739298690916531E-2</v>
      </c>
      <c r="K17" s="63">
        <f t="shared" ref="K17" si="10">K16/J16-1</f>
        <v>4.6850194487974006E-2</v>
      </c>
      <c r="L17" s="63">
        <f t="shared" ref="L17" si="11">L16/K16-1</f>
        <v>4.6958725610542373E-2</v>
      </c>
    </row>
    <row r="18" spans="2:12" x14ac:dyDescent="0.35">
      <c r="B18" s="46" t="s">
        <v>109</v>
      </c>
      <c r="C18" s="48">
        <f>C16-'3_statement_model'!C28</f>
        <v>0</v>
      </c>
      <c r="D18" s="48">
        <f>D16-'3_statement_model'!D28</f>
        <v>0</v>
      </c>
      <c r="E18" s="48">
        <f>E16-'3_statement_model'!E28</f>
        <v>0</v>
      </c>
      <c r="F18" s="48">
        <f>F16-'3_statement_model'!F28</f>
        <v>0</v>
      </c>
      <c r="G18" s="48">
        <f>G16-'3_statement_model'!G28</f>
        <v>0</v>
      </c>
      <c r="H18" s="77"/>
      <c r="I18" s="77"/>
      <c r="J18" s="77"/>
      <c r="K18" s="77"/>
      <c r="L18" s="77"/>
    </row>
    <row r="19" spans="2:12" x14ac:dyDescent="0.35">
      <c r="B19" s="46"/>
    </row>
    <row r="20" spans="2:12" x14ac:dyDescent="0.35">
      <c r="B20" s="67" t="s">
        <v>102</v>
      </c>
      <c r="C20" s="30"/>
      <c r="D20" s="30"/>
      <c r="E20" s="30"/>
      <c r="F20" s="30"/>
      <c r="G20" s="30"/>
      <c r="H20" s="30"/>
      <c r="I20" s="30"/>
      <c r="J20" s="30"/>
      <c r="K20" s="30"/>
      <c r="L20" s="30"/>
    </row>
    <row r="21" spans="2:12" x14ac:dyDescent="0.35">
      <c r="B21" s="46" t="s">
        <v>92</v>
      </c>
      <c r="C21" s="22" t="s">
        <v>60</v>
      </c>
      <c r="D21" s="52">
        <f>(D8/C8)-1</f>
        <v>0.17735520078461287</v>
      </c>
      <c r="E21" s="52">
        <f>(E8/D8)-1</f>
        <v>-9.8111810440577596E-3</v>
      </c>
      <c r="F21" s="52">
        <f>(F8/E8)-1</f>
        <v>-8.5249579360628158E-2</v>
      </c>
      <c r="G21" s="52">
        <f>(G8/F8)-1</f>
        <v>4.7976701410177736E-2</v>
      </c>
      <c r="H21" s="52">
        <f>H8/G8-1</f>
        <v>0</v>
      </c>
      <c r="I21" s="52">
        <f t="shared" ref="I21:L21" si="12">I8/H8-1</f>
        <v>4.0000000000000036E-2</v>
      </c>
      <c r="J21" s="52">
        <f t="shared" si="12"/>
        <v>5.0000000000000044E-2</v>
      </c>
      <c r="K21" s="52">
        <f t="shared" si="12"/>
        <v>5.0000000000000044E-2</v>
      </c>
      <c r="L21" s="52">
        <f t="shared" si="12"/>
        <v>5.0000000000000044E-2</v>
      </c>
    </row>
    <row r="22" spans="2:12" x14ac:dyDescent="0.35">
      <c r="B22" s="46" t="s">
        <v>103</v>
      </c>
      <c r="C22" s="22" t="s">
        <v>60</v>
      </c>
      <c r="D22" s="52">
        <f>D9/C9-1</f>
        <v>7.524641397547871E-2</v>
      </c>
      <c r="E22" s="52">
        <f>E9/D9-1</f>
        <v>1.4085556714860559E-2</v>
      </c>
      <c r="F22" s="52">
        <f>F9/E9-1</f>
        <v>-9.9213640038215645E-2</v>
      </c>
      <c r="G22" s="52">
        <f>G9/F9-1</f>
        <v>2.5699600228440866E-2</v>
      </c>
      <c r="H22" s="52">
        <f t="shared" ref="H22:L22" si="13">H9/G9-1</f>
        <v>-9.9999999999999867E-2</v>
      </c>
      <c r="I22" s="52">
        <f t="shared" si="13"/>
        <v>3.0000000000000027E-2</v>
      </c>
      <c r="J22" s="52">
        <f t="shared" si="13"/>
        <v>4.4999999999999929E-2</v>
      </c>
      <c r="K22" s="52">
        <f t="shared" si="13"/>
        <v>4.4999999999999929E-2</v>
      </c>
      <c r="L22" s="52">
        <f t="shared" si="13"/>
        <v>4.4999999999999929E-2</v>
      </c>
    </row>
    <row r="23" spans="2:12" x14ac:dyDescent="0.35">
      <c r="B23" s="46" t="s">
        <v>94</v>
      </c>
      <c r="C23" s="22" t="s">
        <v>60</v>
      </c>
      <c r="D23" s="52">
        <f>D10/C10-1</f>
        <v>-3.9618391413806853E-2</v>
      </c>
      <c r="E23" s="52">
        <f t="shared" ref="E23:L23" si="14">E10/D10-1</f>
        <v>4.0976821192052926E-2</v>
      </c>
      <c r="F23" s="52">
        <f t="shared" si="14"/>
        <v>-0.12710404241219353</v>
      </c>
      <c r="G23" s="52">
        <f t="shared" si="14"/>
        <v>-0.11220771333130886</v>
      </c>
      <c r="H23" s="52">
        <f t="shared" si="14"/>
        <v>-0.25</v>
      </c>
      <c r="I23" s="52">
        <f t="shared" si="14"/>
        <v>-4.9999999999999933E-2</v>
      </c>
      <c r="J23" s="52">
        <f t="shared" si="14"/>
        <v>2.4999999999999911E-2</v>
      </c>
      <c r="K23" s="52">
        <f t="shared" si="14"/>
        <v>2.4999999999999911E-2</v>
      </c>
      <c r="L23" s="52">
        <f t="shared" si="14"/>
        <v>2.4999999999999911E-2</v>
      </c>
    </row>
    <row r="24" spans="2:12" x14ac:dyDescent="0.35">
      <c r="B24" s="46" t="s">
        <v>104</v>
      </c>
      <c r="C24" s="22" t="s">
        <v>60</v>
      </c>
      <c r="D24" s="52">
        <f t="shared" ref="D24:L24" si="15">D11/C11-1</f>
        <v>7.9932829554995699E-2</v>
      </c>
      <c r="E24" s="52">
        <f t="shared" si="15"/>
        <v>4.6338050069973491E-2</v>
      </c>
      <c r="F24" s="52">
        <f t="shared" si="15"/>
        <v>-7.1035815128548063E-2</v>
      </c>
      <c r="G24" s="52">
        <f t="shared" si="15"/>
        <v>-1.2797952327627815E-3</v>
      </c>
      <c r="H24" s="52">
        <f t="shared" si="15"/>
        <v>-5.9999999999999942E-2</v>
      </c>
      <c r="I24" s="52">
        <f t="shared" si="15"/>
        <v>3.0000000000000027E-2</v>
      </c>
      <c r="J24" s="52">
        <f t="shared" si="15"/>
        <v>6.0000000000000053E-2</v>
      </c>
      <c r="K24" s="52">
        <f t="shared" si="15"/>
        <v>6.0000000000000053E-2</v>
      </c>
      <c r="L24" s="52">
        <f t="shared" si="15"/>
        <v>6.0000000000000053E-2</v>
      </c>
    </row>
    <row r="25" spans="2:12" x14ac:dyDescent="0.35">
      <c r="B25" s="46" t="s">
        <v>98</v>
      </c>
      <c r="C25" s="22" t="s">
        <v>60</v>
      </c>
      <c r="D25" s="52">
        <f>D14/C14-1</f>
        <v>3.4526854219948833E-2</v>
      </c>
      <c r="E25" s="52">
        <f t="shared" ref="E25:G25" si="16">E14/D14-1</f>
        <v>-0.14215080346106301</v>
      </c>
      <c r="F25" s="52">
        <f t="shared" si="16"/>
        <v>-0.18731988472622474</v>
      </c>
      <c r="G25" s="52">
        <f t="shared" si="16"/>
        <v>-0.30614657210401897</v>
      </c>
      <c r="H25" s="52">
        <f>H14/G14-1</f>
        <v>-0.30000000000000004</v>
      </c>
      <c r="I25" s="52">
        <f>I14/H14-1</f>
        <v>-5.0000000000000044E-2</v>
      </c>
      <c r="J25" s="52">
        <f t="shared" ref="J25:L25" si="17">J14/I14-1</f>
        <v>0</v>
      </c>
      <c r="K25" s="52">
        <f t="shared" si="17"/>
        <v>0</v>
      </c>
      <c r="L25" s="52">
        <f t="shared" si="17"/>
        <v>0</v>
      </c>
    </row>
    <row r="26" spans="2:12" x14ac:dyDescent="0.35">
      <c r="B26" s="46"/>
    </row>
    <row r="27" spans="2:12" x14ac:dyDescent="0.35">
      <c r="B27" s="67" t="s">
        <v>110</v>
      </c>
      <c r="C27" s="30"/>
      <c r="D27" s="30"/>
      <c r="E27" s="30"/>
      <c r="F27" s="30"/>
      <c r="G27" s="30"/>
      <c r="H27" s="30"/>
      <c r="I27" s="30"/>
      <c r="J27" s="30"/>
      <c r="K27" s="30"/>
      <c r="L27" s="30"/>
    </row>
    <row r="28" spans="2:12" x14ac:dyDescent="0.35">
      <c r="B28" s="46" t="s">
        <v>92</v>
      </c>
      <c r="C28" s="52">
        <f>C8/C$16</f>
        <v>0.39291372297152644</v>
      </c>
      <c r="D28" s="52">
        <f t="shared" ref="D28:G28" si="18">D8/D$16</f>
        <v>0.42189116894781031</v>
      </c>
      <c r="E28" s="52">
        <f t="shared" si="18"/>
        <v>0.41657256337370041</v>
      </c>
      <c r="F28" s="52">
        <f t="shared" si="18"/>
        <v>0.4226392277958928</v>
      </c>
      <c r="G28" s="52">
        <f t="shared" si="18"/>
        <v>0.44206646838225788</v>
      </c>
      <c r="H28" s="52">
        <f t="shared" ref="H28:L28" si="19">H8/H$16</f>
        <v>0.47753005836478485</v>
      </c>
      <c r="I28" s="52">
        <f t="shared" si="19"/>
        <v>0.48449874371687807</v>
      </c>
      <c r="J28" s="52">
        <f t="shared" si="19"/>
        <v>0.48600800747516315</v>
      </c>
      <c r="K28" s="52">
        <f t="shared" si="19"/>
        <v>0.48747032816717278</v>
      </c>
      <c r="L28" s="52">
        <f t="shared" si="19"/>
        <v>0.48888636395579554</v>
      </c>
    </row>
    <row r="29" spans="2:12" x14ac:dyDescent="0.35">
      <c r="B29" s="46" t="s">
        <v>103</v>
      </c>
      <c r="C29" s="52">
        <f t="shared" ref="C29:L31" si="20">C9/C$16</f>
        <v>0.26715906658103189</v>
      </c>
      <c r="D29" s="52">
        <f t="shared" si="20"/>
        <v>0.26198332584883927</v>
      </c>
      <c r="E29" s="52">
        <f t="shared" si="20"/>
        <v>0.264923484287995</v>
      </c>
      <c r="F29" s="52">
        <f t="shared" si="20"/>
        <v>0.26467857219978835</v>
      </c>
      <c r="G29" s="52">
        <f t="shared" si="20"/>
        <v>0.27095995517048149</v>
      </c>
      <c r="H29" s="52">
        <f t="shared" si="20"/>
        <v>0.26342728801062204</v>
      </c>
      <c r="I29" s="52">
        <f t="shared" si="20"/>
        <v>0.26470161306362644</v>
      </c>
      <c r="J29" s="52">
        <f t="shared" si="20"/>
        <v>0.26426177558961467</v>
      </c>
      <c r="K29" s="52">
        <f t="shared" si="20"/>
        <v>0.26379472148468874</v>
      </c>
      <c r="L29" s="52">
        <f t="shared" si="20"/>
        <v>0.26330119536540769</v>
      </c>
    </row>
    <row r="30" spans="2:12" x14ac:dyDescent="0.35">
      <c r="B30" s="46" t="s">
        <v>94</v>
      </c>
      <c r="C30" s="52">
        <f t="shared" si="20"/>
        <v>0.16157139798758297</v>
      </c>
      <c r="D30" s="52">
        <f t="shared" si="20"/>
        <v>0.14151551242751431</v>
      </c>
      <c r="E30" s="52">
        <f t="shared" si="20"/>
        <v>0.14689848526147736</v>
      </c>
      <c r="F30" s="52">
        <f t="shared" si="20"/>
        <v>0.14221857522295883</v>
      </c>
      <c r="G30" s="52">
        <f t="shared" si="20"/>
        <v>0.12601836286046814</v>
      </c>
      <c r="H30" s="52">
        <f t="shared" si="20"/>
        <v>0.10209588457140914</v>
      </c>
      <c r="I30" s="52">
        <f t="shared" si="20"/>
        <v>9.4621634080503586E-2</v>
      </c>
      <c r="J30" s="52">
        <f t="shared" si="20"/>
        <v>9.2656476215053005E-2</v>
      </c>
      <c r="K30" s="52">
        <f t="shared" si="20"/>
        <v>9.0722520395462705E-2</v>
      </c>
      <c r="L30" s="52">
        <f t="shared" si="20"/>
        <v>8.8819722430911546E-2</v>
      </c>
    </row>
    <row r="31" spans="2:12" x14ac:dyDescent="0.35">
      <c r="B31" s="46" t="s">
        <v>104</v>
      </c>
      <c r="C31" s="52">
        <f t="shared" si="20"/>
        <v>0.12748876043673732</v>
      </c>
      <c r="D31" s="52">
        <f t="shared" si="20"/>
        <v>0.12556377765195151</v>
      </c>
      <c r="E31" s="52">
        <f t="shared" si="20"/>
        <v>0.13101125345586231</v>
      </c>
      <c r="F31" s="52">
        <f t="shared" si="20"/>
        <v>0.13498456023667105</v>
      </c>
      <c r="G31" s="52">
        <f t="shared" si="20"/>
        <v>0.13455321350058191</v>
      </c>
      <c r="H31" s="52">
        <f t="shared" si="20"/>
        <v>0.13662653917941939</v>
      </c>
      <c r="I31" s="52">
        <f t="shared" si="20"/>
        <v>0.13728746775328302</v>
      </c>
      <c r="J31" s="52">
        <f t="shared" si="20"/>
        <v>0.1390267051217792</v>
      </c>
      <c r="K31" s="52">
        <f t="shared" si="20"/>
        <v>0.14077306209143461</v>
      </c>
      <c r="L31" s="52">
        <f t="shared" si="20"/>
        <v>0.14252657928792958</v>
      </c>
    </row>
    <row r="32" spans="2:12" x14ac:dyDescent="0.35">
      <c r="B32" s="46" t="s">
        <v>98</v>
      </c>
      <c r="C32" s="52">
        <f>C14/C$16</f>
        <v>5.0224791265253692E-2</v>
      </c>
      <c r="D32" s="52">
        <f t="shared" ref="D32:G32" si="21">D14/D$16</f>
        <v>4.7386609914676768E-2</v>
      </c>
      <c r="E32" s="52">
        <f t="shared" si="21"/>
        <v>4.0535804680503093E-2</v>
      </c>
      <c r="F32" s="52">
        <f t="shared" si="21"/>
        <v>3.6537174199399683E-2</v>
      </c>
      <c r="G32" s="52">
        <f t="shared" si="21"/>
        <v>2.5302814776498986E-2</v>
      </c>
      <c r="H32" s="52">
        <f>H14/H16</f>
        <v>1.913286538755693E-2</v>
      </c>
      <c r="I32" s="52">
        <f t="shared" ref="I32:L32" si="22">I14/I16</f>
        <v>1.7732183772272467E-2</v>
      </c>
      <c r="J32" s="52">
        <f t="shared" si="22"/>
        <v>1.6940401296147826E-2</v>
      </c>
      <c r="K32" s="52">
        <f t="shared" si="22"/>
        <v>1.6182259300657208E-2</v>
      </c>
      <c r="L32" s="52">
        <f t="shared" si="22"/>
        <v>1.5456444370546123E-2</v>
      </c>
    </row>
    <row r="33" spans="2:12" x14ac:dyDescent="0.35">
      <c r="B33" s="46"/>
    </row>
    <row r="34" spans="2:12" x14ac:dyDescent="0.35">
      <c r="B34" s="67" t="s">
        <v>111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  <row r="35" spans="2:12" x14ac:dyDescent="0.35">
      <c r="B35" s="46" t="s">
        <v>105</v>
      </c>
      <c r="C35" s="49">
        <v>29143</v>
      </c>
      <c r="D35" s="49">
        <v>33135</v>
      </c>
      <c r="E35" s="49">
        <v>33427</v>
      </c>
      <c r="F35" s="49">
        <v>29510</v>
      </c>
      <c r="G35" s="49">
        <v>29525</v>
      </c>
      <c r="H35" s="183"/>
    </row>
    <row r="36" spans="2:12" x14ac:dyDescent="0.35">
      <c r="B36" s="46" t="s">
        <v>106</v>
      </c>
      <c r="C36" s="49">
        <v>13567</v>
      </c>
      <c r="D36" s="49">
        <v>13843</v>
      </c>
      <c r="E36" s="49">
        <v>13775</v>
      </c>
      <c r="F36" s="49">
        <v>12965</v>
      </c>
      <c r="G36" s="49">
        <v>13449</v>
      </c>
      <c r="H36" s="183"/>
    </row>
    <row r="37" spans="2:12" x14ac:dyDescent="0.35">
      <c r="B37" s="46" t="s">
        <v>107</v>
      </c>
      <c r="C37" s="49">
        <v>1624</v>
      </c>
      <c r="D37" s="49">
        <v>1727</v>
      </c>
      <c r="E37" s="49">
        <v>2075</v>
      </c>
      <c r="F37" s="49">
        <v>2191</v>
      </c>
      <c r="G37" s="49">
        <v>2199</v>
      </c>
      <c r="H37" s="183"/>
    </row>
    <row r="38" spans="2:12" x14ac:dyDescent="0.35">
      <c r="B38" s="46" t="s">
        <v>96</v>
      </c>
      <c r="C38" s="51">
        <f>C12</f>
        <v>102</v>
      </c>
      <c r="D38" s="51">
        <f>D12</f>
        <v>58</v>
      </c>
      <c r="E38" s="51">
        <f>E12</f>
        <v>45</v>
      </c>
      <c r="F38" s="51">
        <f>F12</f>
        <v>48</v>
      </c>
      <c r="G38" s="51">
        <f>G12</f>
        <v>49</v>
      </c>
      <c r="H38" s="183"/>
    </row>
    <row r="39" spans="2:12" x14ac:dyDescent="0.35">
      <c r="B39" s="47" t="s">
        <v>108</v>
      </c>
      <c r="C39" s="50">
        <f>SUM(C35:C38)</f>
        <v>44436</v>
      </c>
      <c r="D39" s="50">
        <f>SUM(D35:D38)</f>
        <v>48763</v>
      </c>
      <c r="E39" s="50">
        <f>SUM(E35:E38)</f>
        <v>49322</v>
      </c>
      <c r="F39" s="50">
        <f>SUM(F35:F38)</f>
        <v>44714</v>
      </c>
      <c r="G39" s="50">
        <f>SUM(G35:G38)</f>
        <v>45222</v>
      </c>
    </row>
    <row r="40" spans="2:12" x14ac:dyDescent="0.35">
      <c r="B40" s="46" t="s">
        <v>112</v>
      </c>
      <c r="C40" s="51">
        <f>C39-C13</f>
        <v>0</v>
      </c>
      <c r="D40" s="51">
        <f>D39-D13</f>
        <v>0</v>
      </c>
      <c r="E40" s="51">
        <f>E39-E13</f>
        <v>0</v>
      </c>
      <c r="F40" s="51">
        <f>F39-F13</f>
        <v>0</v>
      </c>
      <c r="G40" s="51">
        <f>G39-G13</f>
        <v>0</v>
      </c>
    </row>
    <row r="42" spans="2:12" x14ac:dyDescent="0.35">
      <c r="B42" t="s">
        <v>245</v>
      </c>
    </row>
  </sheetData>
  <mergeCells count="2">
    <mergeCell ref="C5:G5"/>
    <mergeCell ref="H5:L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74"/>
  <sheetViews>
    <sheetView showGridLines="0" topLeftCell="A40" workbookViewId="0">
      <selection activeCell="H53" sqref="H53"/>
    </sheetView>
  </sheetViews>
  <sheetFormatPr defaultRowHeight="14.5" x14ac:dyDescent="0.35"/>
  <cols>
    <col min="1" max="1" width="2.1796875" customWidth="1"/>
    <col min="2" max="2" width="41.81640625" bestFit="1" customWidth="1"/>
    <col min="4" max="4" width="14.90625" style="22" customWidth="1"/>
    <col min="5" max="5" width="45.26953125" style="22" bestFit="1" customWidth="1"/>
    <col min="6" max="6" width="2.1796875" style="23" customWidth="1"/>
  </cols>
  <sheetData>
    <row r="2" spans="2:9" ht="26" customHeight="1" x14ac:dyDescent="0.35">
      <c r="B2" s="35" t="s">
        <v>53</v>
      </c>
      <c r="C2" s="39"/>
      <c r="D2" s="39"/>
      <c r="E2" s="39"/>
      <c r="F2" s="40"/>
      <c r="G2" s="259"/>
      <c r="H2" s="259"/>
      <c r="I2" s="259"/>
    </row>
    <row r="3" spans="2:9" ht="16.5" customHeight="1" x14ac:dyDescent="0.35">
      <c r="B3" s="33" t="s">
        <v>54</v>
      </c>
      <c r="C3" s="39"/>
      <c r="D3" s="39"/>
      <c r="E3" s="39"/>
      <c r="F3" s="40"/>
      <c r="G3" s="35"/>
      <c r="H3" s="35"/>
      <c r="I3" s="35"/>
    </row>
    <row r="5" spans="2:9" x14ac:dyDescent="0.35">
      <c r="B5" t="s">
        <v>90</v>
      </c>
      <c r="C5" s="42">
        <v>2</v>
      </c>
      <c r="D5" s="78" t="str">
        <f>CHOOSE(C5,"Bear","Base","Bull")</f>
        <v>Base</v>
      </c>
    </row>
    <row r="7" spans="2:9" x14ac:dyDescent="0.35">
      <c r="B7" s="44" t="s">
        <v>89</v>
      </c>
    </row>
    <row r="8" spans="2:9" x14ac:dyDescent="0.35">
      <c r="B8" s="36" t="s">
        <v>81</v>
      </c>
      <c r="C8" s="37" t="s">
        <v>82</v>
      </c>
      <c r="D8" s="37" t="s">
        <v>83</v>
      </c>
      <c r="E8" s="37" t="s">
        <v>84</v>
      </c>
      <c r="F8" s="41"/>
      <c r="G8" s="37" t="s">
        <v>85</v>
      </c>
      <c r="H8" s="37" t="s">
        <v>86</v>
      </c>
      <c r="I8" s="37" t="s">
        <v>87</v>
      </c>
    </row>
    <row r="10" spans="2:9" x14ac:dyDescent="0.35">
      <c r="B10" s="42" t="s">
        <v>88</v>
      </c>
      <c r="C10" s="30"/>
      <c r="D10" s="45"/>
      <c r="E10" s="45"/>
      <c r="F10" s="30"/>
      <c r="G10" s="30"/>
      <c r="H10" s="30"/>
      <c r="I10" s="30"/>
    </row>
    <row r="11" spans="2:9" x14ac:dyDescent="0.35">
      <c r="B11" s="68" t="s">
        <v>113</v>
      </c>
      <c r="C11" s="69">
        <f>CHOOSE($C$5,G11,H11,I11)</f>
        <v>0</v>
      </c>
      <c r="D11" s="70" t="s">
        <v>244</v>
      </c>
      <c r="E11" s="70"/>
      <c r="F11" s="71"/>
      <c r="G11" s="228">
        <v>-0.03</v>
      </c>
      <c r="H11" s="228">
        <v>0</v>
      </c>
      <c r="I11" s="228">
        <v>0.03</v>
      </c>
    </row>
    <row r="12" spans="2:9" x14ac:dyDescent="0.35">
      <c r="B12" s="68" t="s">
        <v>114</v>
      </c>
      <c r="C12" s="69">
        <f t="shared" ref="C12:C15" si="0">CHOOSE($C$5,G12,H12,I12)</f>
        <v>-0.1</v>
      </c>
      <c r="D12" s="70" t="s">
        <v>244</v>
      </c>
      <c r="E12" s="70"/>
      <c r="F12" s="71"/>
      <c r="G12" s="228">
        <v>-0.13</v>
      </c>
      <c r="H12" s="228">
        <v>-0.1</v>
      </c>
      <c r="I12" s="228">
        <v>-7.0000000000000007E-2</v>
      </c>
    </row>
    <row r="13" spans="2:9" x14ac:dyDescent="0.35">
      <c r="B13" s="68" t="s">
        <v>115</v>
      </c>
      <c r="C13" s="69">
        <f t="shared" si="0"/>
        <v>-0.25</v>
      </c>
      <c r="D13" s="70" t="s">
        <v>244</v>
      </c>
      <c r="E13" s="70"/>
      <c r="F13" s="71"/>
      <c r="G13" s="228">
        <v>-0.28000000000000003</v>
      </c>
      <c r="H13" s="228">
        <v>-0.25</v>
      </c>
      <c r="I13" s="228">
        <v>-0.22</v>
      </c>
    </row>
    <row r="14" spans="2:9" x14ac:dyDescent="0.35">
      <c r="B14" s="68" t="s">
        <v>116</v>
      </c>
      <c r="C14" s="69">
        <f t="shared" si="0"/>
        <v>-0.06</v>
      </c>
      <c r="D14" s="70" t="s">
        <v>244</v>
      </c>
      <c r="E14" s="70"/>
      <c r="F14" s="71"/>
      <c r="G14" s="228">
        <v>-0.09</v>
      </c>
      <c r="H14" s="228">
        <v>-0.06</v>
      </c>
      <c r="I14" s="228">
        <v>-0.03</v>
      </c>
    </row>
    <row r="15" spans="2:9" x14ac:dyDescent="0.35">
      <c r="B15" s="79" t="s">
        <v>117</v>
      </c>
      <c r="C15" s="80">
        <f t="shared" si="0"/>
        <v>-0.3</v>
      </c>
      <c r="D15" s="81" t="s">
        <v>244</v>
      </c>
      <c r="E15" s="81"/>
      <c r="F15" s="82"/>
      <c r="G15" s="229">
        <v>-0.33</v>
      </c>
      <c r="H15" s="229">
        <v>-0.3</v>
      </c>
      <c r="I15" s="229">
        <v>-0.27</v>
      </c>
    </row>
    <row r="16" spans="2:9" x14ac:dyDescent="0.35">
      <c r="G16" s="88"/>
      <c r="H16" s="88"/>
      <c r="I16" s="88"/>
    </row>
    <row r="17" spans="2:9" x14ac:dyDescent="0.35">
      <c r="B17" s="4" t="s">
        <v>119</v>
      </c>
      <c r="C17" s="69">
        <f>CHOOSE($C$5,G17,H17,I17)</f>
        <v>0.04</v>
      </c>
      <c r="D17" s="70" t="s">
        <v>244</v>
      </c>
      <c r="E17" s="70"/>
      <c r="F17" s="71"/>
      <c r="G17" s="228">
        <v>0.02</v>
      </c>
      <c r="H17" s="228">
        <v>0.04</v>
      </c>
      <c r="I17" s="228">
        <v>0.06</v>
      </c>
    </row>
    <row r="18" spans="2:9" x14ac:dyDescent="0.35">
      <c r="B18" s="4" t="s">
        <v>120</v>
      </c>
      <c r="C18" s="69">
        <f t="shared" ref="C18:C21" si="1">CHOOSE($C$5,G18,H18,I18)</f>
        <v>0.03</v>
      </c>
      <c r="D18" s="70" t="s">
        <v>244</v>
      </c>
      <c r="E18" s="70"/>
      <c r="F18" s="71"/>
      <c r="G18" s="228">
        <v>0.01</v>
      </c>
      <c r="H18" s="228">
        <v>0.03</v>
      </c>
      <c r="I18" s="228">
        <v>0.05</v>
      </c>
    </row>
    <row r="19" spans="2:9" x14ac:dyDescent="0.35">
      <c r="B19" s="4" t="s">
        <v>121</v>
      </c>
      <c r="C19" s="69">
        <f t="shared" si="1"/>
        <v>-0.05</v>
      </c>
      <c r="D19" s="70" t="s">
        <v>244</v>
      </c>
      <c r="E19" s="70"/>
      <c r="F19" s="71"/>
      <c r="G19" s="228">
        <v>-7.0000000000000007E-2</v>
      </c>
      <c r="H19" s="228">
        <v>-0.05</v>
      </c>
      <c r="I19" s="228">
        <v>-0.03</v>
      </c>
    </row>
    <row r="20" spans="2:9" x14ac:dyDescent="0.35">
      <c r="B20" s="4" t="s">
        <v>122</v>
      </c>
      <c r="C20" s="69">
        <f t="shared" si="1"/>
        <v>0.03</v>
      </c>
      <c r="D20" s="70" t="s">
        <v>244</v>
      </c>
      <c r="E20" s="70"/>
      <c r="F20" s="71"/>
      <c r="G20" s="228">
        <v>0.01</v>
      </c>
      <c r="H20" s="228">
        <v>0.03</v>
      </c>
      <c r="I20" s="228">
        <v>0.05</v>
      </c>
    </row>
    <row r="21" spans="2:9" x14ac:dyDescent="0.35">
      <c r="B21" s="5" t="s">
        <v>123</v>
      </c>
      <c r="C21" s="80">
        <f t="shared" si="1"/>
        <v>-0.05</v>
      </c>
      <c r="D21" s="81" t="s">
        <v>244</v>
      </c>
      <c r="E21" s="81"/>
      <c r="F21" s="82"/>
      <c r="G21" s="229">
        <v>-7.0000000000000007E-2</v>
      </c>
      <c r="H21" s="229">
        <v>-0.05</v>
      </c>
      <c r="I21" s="229">
        <v>-0.03</v>
      </c>
    </row>
    <row r="22" spans="2:9" x14ac:dyDescent="0.35">
      <c r="C22" s="69"/>
      <c r="G22" s="86"/>
      <c r="H22" s="86"/>
      <c r="I22" s="86"/>
    </row>
    <row r="23" spans="2:9" x14ac:dyDescent="0.35">
      <c r="B23" s="73" t="s">
        <v>124</v>
      </c>
      <c r="C23" s="69">
        <f>CHOOSE($C$5,G23,H23,I23)</f>
        <v>0.05</v>
      </c>
      <c r="D23" s="70" t="s">
        <v>244</v>
      </c>
      <c r="E23" s="70"/>
      <c r="F23" s="71"/>
      <c r="G23" s="228">
        <v>0.03</v>
      </c>
      <c r="H23" s="228">
        <v>0.05</v>
      </c>
      <c r="I23" s="228">
        <v>7.0000000000000007E-2</v>
      </c>
    </row>
    <row r="24" spans="2:9" x14ac:dyDescent="0.35">
      <c r="B24" s="73" t="s">
        <v>125</v>
      </c>
      <c r="C24" s="69">
        <f t="shared" ref="C24:C27" si="2">CHOOSE($C$5,G24,H24,I24)</f>
        <v>4.4999999999999998E-2</v>
      </c>
      <c r="D24" s="70" t="s">
        <v>244</v>
      </c>
      <c r="E24" s="70"/>
      <c r="F24" s="71"/>
      <c r="G24" s="228">
        <v>2.5000000000000001E-2</v>
      </c>
      <c r="H24" s="228">
        <v>4.4999999999999998E-2</v>
      </c>
      <c r="I24" s="228">
        <v>6.5000000000000002E-2</v>
      </c>
    </row>
    <row r="25" spans="2:9" x14ac:dyDescent="0.35">
      <c r="B25" s="73" t="s">
        <v>126</v>
      </c>
      <c r="C25" s="69">
        <f t="shared" si="2"/>
        <v>2.5000000000000001E-2</v>
      </c>
      <c r="D25" s="70" t="s">
        <v>244</v>
      </c>
      <c r="E25" s="70"/>
      <c r="F25" s="71"/>
      <c r="G25" s="228">
        <v>5.0000000000000001E-3</v>
      </c>
      <c r="H25" s="228">
        <v>2.5000000000000001E-2</v>
      </c>
      <c r="I25" s="228">
        <v>4.4999999999999998E-2</v>
      </c>
    </row>
    <row r="26" spans="2:9" x14ac:dyDescent="0.35">
      <c r="B26" s="73" t="s">
        <v>127</v>
      </c>
      <c r="C26" s="69">
        <f t="shared" si="2"/>
        <v>0.06</v>
      </c>
      <c r="D26" s="70" t="s">
        <v>244</v>
      </c>
      <c r="E26" s="70"/>
      <c r="F26" s="71"/>
      <c r="G26" s="228">
        <v>0.04</v>
      </c>
      <c r="H26" s="228">
        <v>0.06</v>
      </c>
      <c r="I26" s="228">
        <v>0.08</v>
      </c>
    </row>
    <row r="27" spans="2:9" x14ac:dyDescent="0.35">
      <c r="B27" s="83" t="s">
        <v>128</v>
      </c>
      <c r="C27" s="80">
        <f t="shared" si="2"/>
        <v>0</v>
      </c>
      <c r="D27" s="81" t="s">
        <v>244</v>
      </c>
      <c r="E27" s="81"/>
      <c r="F27" s="82"/>
      <c r="G27" s="229">
        <v>-0.02</v>
      </c>
      <c r="H27" s="229">
        <v>0</v>
      </c>
      <c r="I27" s="229">
        <v>0.02</v>
      </c>
    </row>
    <row r="28" spans="2:9" x14ac:dyDescent="0.35">
      <c r="B28" s="73"/>
      <c r="C28" s="69"/>
      <c r="D28" s="70"/>
      <c r="E28" s="70"/>
      <c r="F28" s="71"/>
      <c r="G28" s="72"/>
      <c r="H28" s="72"/>
      <c r="I28" s="72"/>
    </row>
    <row r="29" spans="2:9" x14ac:dyDescent="0.35">
      <c r="B29" s="73" t="s">
        <v>129</v>
      </c>
      <c r="C29" s="76">
        <v>0</v>
      </c>
      <c r="D29" s="70" t="s">
        <v>244</v>
      </c>
      <c r="E29" s="70"/>
      <c r="F29" s="71"/>
      <c r="G29" s="74" t="s">
        <v>60</v>
      </c>
      <c r="H29" s="74" t="s">
        <v>60</v>
      </c>
      <c r="I29" s="74" t="s">
        <v>60</v>
      </c>
    </row>
    <row r="30" spans="2:9" x14ac:dyDescent="0.35">
      <c r="B30" s="84" t="s">
        <v>130</v>
      </c>
      <c r="C30" s="80">
        <f>Revenue_Build!H17</f>
        <v>-7.4264623475149727E-2</v>
      </c>
      <c r="D30" s="81"/>
      <c r="E30" s="81"/>
      <c r="F30" s="82"/>
      <c r="G30" s="5"/>
      <c r="H30" s="5"/>
      <c r="I30" s="5"/>
    </row>
    <row r="32" spans="2:9" x14ac:dyDescent="0.35">
      <c r="B32" s="89" t="s">
        <v>131</v>
      </c>
      <c r="C32" s="90"/>
      <c r="D32" s="91"/>
      <c r="E32" s="91"/>
      <c r="F32" s="90"/>
      <c r="G32" s="90"/>
      <c r="H32" s="90"/>
      <c r="I32" s="90"/>
    </row>
    <row r="33" spans="2:9" s="4" customFormat="1" x14ac:dyDescent="0.35">
      <c r="B33" s="92"/>
      <c r="C33" s="92"/>
      <c r="D33" s="93"/>
      <c r="E33" s="93"/>
      <c r="F33" s="94"/>
      <c r="G33" s="95"/>
      <c r="H33" s="96"/>
      <c r="I33" s="97"/>
    </row>
    <row r="34" spans="2:9" s="4" customFormat="1" x14ac:dyDescent="0.35">
      <c r="B34" s="92" t="s">
        <v>132</v>
      </c>
      <c r="C34" s="183">
        <f>CHOOSE($C$5,G34,H34,I34)</f>
        <v>0.43943336459472615</v>
      </c>
      <c r="D34" s="93" t="s">
        <v>154</v>
      </c>
      <c r="E34" s="237" t="s">
        <v>231</v>
      </c>
      <c r="F34" s="94"/>
      <c r="G34" s="230">
        <f>H34-0.5%</f>
        <v>0.43443336459472615</v>
      </c>
      <c r="H34" s="231">
        <f>AVERAGE('3_statement_model'!C32:G32)</f>
        <v>0.43943336459472615</v>
      </c>
      <c r="I34" s="97">
        <f>H34+0.5%</f>
        <v>0.44443336459472615</v>
      </c>
    </row>
    <row r="35" spans="2:9" x14ac:dyDescent="0.35">
      <c r="B35" s="98" t="s">
        <v>133</v>
      </c>
      <c r="C35" s="99">
        <f>AVERAGE('3_statement_model'!F10:G10)</f>
        <v>0.10185796436053576</v>
      </c>
      <c r="D35" s="115" t="s">
        <v>191</v>
      </c>
      <c r="E35" s="237" t="s">
        <v>134</v>
      </c>
      <c r="F35" s="94"/>
      <c r="G35" s="97"/>
      <c r="H35" s="97"/>
      <c r="I35" s="97"/>
    </row>
    <row r="36" spans="2:9" x14ac:dyDescent="0.35">
      <c r="B36" s="98" t="s">
        <v>135</v>
      </c>
      <c r="C36" s="108">
        <f>CHOOSE($C$5,G36,H36,I36)</f>
        <v>0.24549449789001951</v>
      </c>
      <c r="D36" s="115" t="s">
        <v>191</v>
      </c>
      <c r="E36" s="237" t="s">
        <v>176</v>
      </c>
      <c r="F36" s="94"/>
      <c r="G36" s="232">
        <f>H36+0.5%</f>
        <v>0.25049449789001949</v>
      </c>
      <c r="H36" s="232">
        <f>AVERAGE('3_statement_model'!G35/'3_statement_model'!G28,'3_statement_model'!F35/'3_statement_model'!F28)</f>
        <v>0.24549449789001951</v>
      </c>
      <c r="I36" s="232">
        <f>H36-0.5%</f>
        <v>0.2404944978900195</v>
      </c>
    </row>
    <row r="37" spans="2:9" x14ac:dyDescent="0.35">
      <c r="B37" s="98" t="s">
        <v>11</v>
      </c>
      <c r="C37" s="105">
        <v>0</v>
      </c>
      <c r="D37" s="115"/>
      <c r="E37" s="197"/>
      <c r="F37" s="94"/>
      <c r="G37" s="97"/>
      <c r="H37" s="97"/>
      <c r="I37" s="97"/>
    </row>
    <row r="38" spans="2:9" x14ac:dyDescent="0.35">
      <c r="B38" s="92"/>
      <c r="C38" s="92"/>
      <c r="D38" s="93"/>
      <c r="E38" s="198"/>
      <c r="F38" s="94"/>
      <c r="G38" s="97"/>
      <c r="H38" s="97"/>
      <c r="I38" s="97"/>
    </row>
    <row r="39" spans="2:9" x14ac:dyDescent="0.35">
      <c r="B39" s="100" t="s">
        <v>137</v>
      </c>
      <c r="C39" s="90"/>
      <c r="D39" s="91"/>
      <c r="E39" s="199"/>
      <c r="F39" s="90"/>
      <c r="G39" s="90"/>
      <c r="H39" s="90"/>
      <c r="I39" s="90"/>
    </row>
    <row r="40" spans="2:9" x14ac:dyDescent="0.35">
      <c r="B40" s="98" t="s">
        <v>138</v>
      </c>
      <c r="C40" s="99">
        <f>AVERAGE('3_statement_model'!C12:G12)</f>
        <v>1.6617630955897127E-2</v>
      </c>
      <c r="D40" s="115" t="s">
        <v>191</v>
      </c>
      <c r="E40" s="237" t="s">
        <v>139</v>
      </c>
      <c r="F40" s="94"/>
      <c r="G40" s="92"/>
      <c r="H40" s="92"/>
      <c r="I40" s="92"/>
    </row>
    <row r="41" spans="2:9" x14ac:dyDescent="0.35">
      <c r="B41" s="98" t="s">
        <v>140</v>
      </c>
      <c r="C41" s="99">
        <f>AVERAGE('3_statement_model'!C18:G18)</f>
        <v>1.4996821579878481E-2</v>
      </c>
      <c r="D41" s="115" t="s">
        <v>191</v>
      </c>
      <c r="E41" s="237" t="s">
        <v>139</v>
      </c>
      <c r="F41" s="94"/>
      <c r="G41" s="92"/>
      <c r="H41" s="92"/>
      <c r="I41" s="92"/>
    </row>
    <row r="42" spans="2:9" x14ac:dyDescent="0.35">
      <c r="B42" s="98" t="s">
        <v>141</v>
      </c>
      <c r="C42" s="99">
        <v>1.4999999999999999E-2</v>
      </c>
      <c r="D42" s="115" t="s">
        <v>191</v>
      </c>
      <c r="E42" s="237" t="s">
        <v>139</v>
      </c>
      <c r="F42" s="94"/>
      <c r="G42" s="92"/>
      <c r="H42" s="92"/>
      <c r="I42" s="92"/>
    </row>
    <row r="43" spans="2:9" x14ac:dyDescent="0.35">
      <c r="B43" s="92"/>
      <c r="C43" s="92"/>
      <c r="D43" s="93"/>
      <c r="E43" s="198"/>
      <c r="F43" s="94"/>
      <c r="G43" s="92"/>
      <c r="H43" s="92"/>
      <c r="I43" s="92"/>
    </row>
    <row r="44" spans="2:9" x14ac:dyDescent="0.35">
      <c r="B44" s="100" t="s">
        <v>142</v>
      </c>
      <c r="C44" s="90"/>
      <c r="D44" s="91"/>
      <c r="E44" s="199"/>
      <c r="F44" s="90"/>
      <c r="G44" s="90"/>
      <c r="H44" s="90"/>
      <c r="I44" s="90"/>
    </row>
    <row r="45" spans="2:9" x14ac:dyDescent="0.35">
      <c r="B45" s="98" t="s">
        <v>143</v>
      </c>
      <c r="C45" s="101">
        <f>AVERAGE('3_statement_model'!F66/'3_statement_model'!F28*365,'3_statement_model'!G66/'3_statement_model'!G28*365)</f>
        <v>41.918066487030288</v>
      </c>
      <c r="D45" s="115" t="s">
        <v>144</v>
      </c>
      <c r="E45" s="237" t="s">
        <v>134</v>
      </c>
      <c r="F45" s="94"/>
      <c r="G45" s="92"/>
      <c r="H45" s="92"/>
      <c r="I45" s="92"/>
    </row>
    <row r="46" spans="2:9" x14ac:dyDescent="0.35">
      <c r="B46" s="98" t="s">
        <v>145</v>
      </c>
      <c r="C46" s="109">
        <f>CHOOSE($C$5,G46,H46,I46)</f>
        <v>103.22142093949675</v>
      </c>
      <c r="D46" s="115" t="s">
        <v>144</v>
      </c>
      <c r="E46" s="237" t="s">
        <v>177</v>
      </c>
      <c r="F46" s="94"/>
      <c r="G46" s="234">
        <f>AVERAGE('3_statement_model'!C67/'3_statement_model'!C30*365,'3_statement_model'!D67/'3_statement_model'!D30*365)</f>
        <v>114.24309835889073</v>
      </c>
      <c r="H46" s="234">
        <f>AVERAGE('3_statement_model'!F67/'3_statement_model'!F30*365,'3_statement_model'!G67/'3_statement_model'!G30*365)</f>
        <v>103.22142093949675</v>
      </c>
      <c r="I46" s="234">
        <f>'3_statement_model'!E67/'3_statement_model'!E30*365</f>
        <v>96.380509218612829</v>
      </c>
    </row>
    <row r="47" spans="2:9" x14ac:dyDescent="0.35">
      <c r="B47" s="98" t="s">
        <v>146</v>
      </c>
      <c r="C47" s="101">
        <f>AVERAGE('3_statement_model'!F80/'3_statement_model'!F30*365,'3_statement_model'!G80/'3_statement_model'!G30*365)</f>
        <v>48.746606126788976</v>
      </c>
      <c r="D47" s="115" t="s">
        <v>144</v>
      </c>
      <c r="E47" s="237" t="s">
        <v>134</v>
      </c>
      <c r="F47" s="94"/>
      <c r="G47" s="92"/>
      <c r="H47" s="92"/>
      <c r="I47" s="92"/>
    </row>
    <row r="48" spans="2:9" x14ac:dyDescent="0.35">
      <c r="B48" s="98" t="s">
        <v>147</v>
      </c>
      <c r="C48" s="99">
        <f>AVERAGE('3_statement_model'!F68/'3_statement_model'!F28,'3_statement_model'!G68/'3_statement_model'!G28)</f>
        <v>4.4752503929474191E-2</v>
      </c>
      <c r="D48" s="115" t="s">
        <v>191</v>
      </c>
      <c r="E48" s="237" t="s">
        <v>134</v>
      </c>
      <c r="F48" s="94"/>
      <c r="G48" s="92"/>
      <c r="H48" s="92"/>
      <c r="I48" s="92"/>
    </row>
    <row r="49" spans="2:9" x14ac:dyDescent="0.35">
      <c r="B49" s="98" t="s">
        <v>148</v>
      </c>
      <c r="C49" s="99">
        <f>AVERAGE('3_statement_model'!F82/'3_statement_model'!F28,'3_statement_model'!G82/'3_statement_model'!G28)</f>
        <v>0.12952465406404678</v>
      </c>
      <c r="D49" s="115" t="s">
        <v>191</v>
      </c>
      <c r="E49" s="237" t="s">
        <v>134</v>
      </c>
      <c r="F49" s="94"/>
      <c r="G49" s="92"/>
      <c r="H49" s="92"/>
      <c r="I49" s="92"/>
    </row>
    <row r="50" spans="2:9" x14ac:dyDescent="0.35">
      <c r="B50" s="98" t="s">
        <v>149</v>
      </c>
      <c r="C50" s="99">
        <f>MEDIAN('3_statement_model'!C83/'3_statement_model'!C46,'3_statement_model'!D83/'3_statement_model'!D46,'3_statement_model'!E83/'3_statement_model'!E46,'3_statement_model'!F83/'3_statement_model'!F46,'3_statement_model'!G83/'3_statement_model'!G46)</f>
        <v>0.47601010101010099</v>
      </c>
      <c r="D50" s="115" t="s">
        <v>150</v>
      </c>
      <c r="E50" s="237" t="s">
        <v>151</v>
      </c>
      <c r="F50" s="94"/>
      <c r="G50" s="92"/>
      <c r="H50" s="92"/>
      <c r="I50" s="92"/>
    </row>
    <row r="51" spans="2:9" x14ac:dyDescent="0.35">
      <c r="B51" s="92"/>
      <c r="C51" s="92"/>
      <c r="D51" s="93"/>
      <c r="E51" s="198"/>
      <c r="F51" s="94"/>
      <c r="G51" s="92"/>
      <c r="H51" s="92"/>
      <c r="I51" s="92"/>
    </row>
    <row r="52" spans="2:9" x14ac:dyDescent="0.35">
      <c r="B52" s="100" t="s">
        <v>152</v>
      </c>
      <c r="C52" s="90"/>
      <c r="D52" s="91"/>
      <c r="E52" s="199"/>
      <c r="F52" s="90"/>
      <c r="G52" s="90"/>
      <c r="H52" s="90"/>
      <c r="I52" s="90"/>
    </row>
    <row r="53" spans="2:9" x14ac:dyDescent="0.35">
      <c r="B53" s="98" t="s">
        <v>153</v>
      </c>
      <c r="C53" s="108">
        <f>CHOOSE($C$5,G53,H53,I53)</f>
        <v>0.20307692307692307</v>
      </c>
      <c r="D53" s="115" t="s">
        <v>154</v>
      </c>
      <c r="E53" s="237" t="s">
        <v>252</v>
      </c>
      <c r="F53" s="94"/>
      <c r="G53" s="235">
        <v>0.25</v>
      </c>
      <c r="H53" s="232">
        <f>'3_statement_model'!G47</f>
        <v>0.20307692307692307</v>
      </c>
      <c r="I53" s="232">
        <f>AVERAGE('3_statement_model'!C47:G47)</f>
        <v>0.15942258556061753</v>
      </c>
    </row>
    <row r="54" spans="2:9" x14ac:dyDescent="0.35">
      <c r="B54" s="92"/>
      <c r="C54" s="92"/>
      <c r="D54" s="93"/>
      <c r="E54" s="198"/>
      <c r="F54" s="94"/>
      <c r="G54" s="92"/>
      <c r="H54" s="92"/>
      <c r="I54" s="92"/>
    </row>
    <row r="55" spans="2:9" x14ac:dyDescent="0.35">
      <c r="B55" s="100" t="s">
        <v>155</v>
      </c>
      <c r="C55" s="90"/>
      <c r="D55" s="91"/>
      <c r="E55" s="199"/>
      <c r="F55" s="90"/>
      <c r="G55" s="90"/>
      <c r="H55" s="90"/>
      <c r="I55" s="90"/>
    </row>
    <row r="56" spans="2:9" x14ac:dyDescent="0.35">
      <c r="B56" s="98" t="s">
        <v>156</v>
      </c>
      <c r="C56" s="105">
        <v>323</v>
      </c>
      <c r="D56" s="115" t="s">
        <v>136</v>
      </c>
      <c r="E56" s="237" t="s">
        <v>157</v>
      </c>
      <c r="F56" s="94"/>
      <c r="G56" s="92"/>
      <c r="H56" s="92"/>
      <c r="I56" s="92"/>
    </row>
    <row r="57" spans="2:9" x14ac:dyDescent="0.35">
      <c r="B57" s="98" t="s">
        <v>158</v>
      </c>
      <c r="C57" s="104">
        <f>C56/AVERAGE('3_statement_model'!F78+'3_statement_model'!F79+'3_statement_model'!F85,'3_statement_model'!G78+'3_statement_model'!G79+'3_statement_model'!G85)</f>
        <v>4.0621266427718038E-2</v>
      </c>
      <c r="D57" s="115" t="s">
        <v>154</v>
      </c>
      <c r="E57" s="237" t="s">
        <v>248</v>
      </c>
      <c r="F57" s="94"/>
      <c r="G57" s="92"/>
      <c r="H57" s="92"/>
      <c r="I57" s="92"/>
    </row>
    <row r="58" spans="2:9" x14ac:dyDescent="0.35">
      <c r="B58" s="98" t="s">
        <v>159</v>
      </c>
      <c r="C58" s="103">
        <v>0.04</v>
      </c>
      <c r="D58" s="115" t="s">
        <v>154</v>
      </c>
      <c r="E58" s="237" t="s">
        <v>160</v>
      </c>
      <c r="F58" s="94"/>
      <c r="G58" s="92"/>
      <c r="H58" s="92"/>
      <c r="I58" s="92"/>
    </row>
    <row r="59" spans="2:9" x14ac:dyDescent="0.35">
      <c r="B59" s="92"/>
      <c r="C59" s="92"/>
      <c r="D59" s="93"/>
      <c r="E59" s="198"/>
      <c r="F59" s="94"/>
      <c r="G59" s="92"/>
      <c r="H59" s="92"/>
      <c r="I59" s="92"/>
    </row>
    <row r="60" spans="2:9" x14ac:dyDescent="0.35">
      <c r="B60" s="100" t="s">
        <v>161</v>
      </c>
      <c r="C60" s="90"/>
      <c r="D60" s="91"/>
      <c r="E60" s="199"/>
      <c r="F60" s="90"/>
      <c r="G60" s="90"/>
      <c r="H60" s="90"/>
      <c r="I60" s="90"/>
    </row>
    <row r="61" spans="2:9" x14ac:dyDescent="0.35">
      <c r="B61" s="98" t="s">
        <v>162</v>
      </c>
      <c r="C61" s="110">
        <f>CHOOSE($C$5,G61,H61,I61)</f>
        <v>2.5000000000000001E-2</v>
      </c>
      <c r="D61" s="116" t="s">
        <v>118</v>
      </c>
      <c r="E61" s="238" t="s">
        <v>178</v>
      </c>
      <c r="F61" s="94"/>
      <c r="G61" s="235">
        <v>0</v>
      </c>
      <c r="H61" s="235">
        <v>2.5000000000000001E-2</v>
      </c>
      <c r="I61" s="236">
        <f>'3_statement_model'!G57/'3_statement_model'!F57-1</f>
        <v>3.8216560509554132E-2</v>
      </c>
    </row>
    <row r="62" spans="2:9" x14ac:dyDescent="0.35">
      <c r="B62" s="98" t="s">
        <v>163</v>
      </c>
      <c r="C62" s="111">
        <f>CHOOSE($C$5,G62,H62,I62)</f>
        <v>1000</v>
      </c>
      <c r="D62" s="116" t="s">
        <v>164</v>
      </c>
      <c r="E62" s="238" t="s">
        <v>255</v>
      </c>
      <c r="F62" s="94"/>
      <c r="G62" s="233">
        <v>0</v>
      </c>
      <c r="H62" s="233">
        <v>1000</v>
      </c>
      <c r="I62" s="233">
        <v>2000</v>
      </c>
    </row>
    <row r="63" spans="2:9" x14ac:dyDescent="0.35">
      <c r="B63" s="98" t="s">
        <v>165</v>
      </c>
      <c r="C63" s="112">
        <v>35.299999999999997</v>
      </c>
      <c r="D63" s="116" t="s">
        <v>166</v>
      </c>
      <c r="E63" s="238" t="s">
        <v>249</v>
      </c>
      <c r="F63" s="94"/>
      <c r="G63" s="106"/>
      <c r="H63" s="106"/>
      <c r="I63" s="106"/>
    </row>
    <row r="64" spans="2:9" x14ac:dyDescent="0.35">
      <c r="B64" s="98" t="s">
        <v>167</v>
      </c>
      <c r="C64" s="113">
        <f>281+1202</f>
        <v>1483</v>
      </c>
      <c r="D64" s="116" t="s">
        <v>168</v>
      </c>
      <c r="E64" s="238"/>
      <c r="F64" s="94"/>
      <c r="G64" s="106"/>
      <c r="H64" s="106"/>
      <c r="I64" s="106"/>
    </row>
    <row r="65" spans="2:9" x14ac:dyDescent="0.35">
      <c r="B65" s="98" t="s">
        <v>169</v>
      </c>
      <c r="C65" s="114">
        <f>C64-(290+1186)</f>
        <v>7</v>
      </c>
      <c r="D65" s="116" t="s">
        <v>170</v>
      </c>
      <c r="E65" s="238" t="s">
        <v>256</v>
      </c>
      <c r="F65" s="94"/>
      <c r="G65" s="106"/>
      <c r="H65" s="106"/>
      <c r="I65" s="106"/>
    </row>
    <row r="66" spans="2:9" x14ac:dyDescent="0.35">
      <c r="B66" s="98" t="s">
        <v>171</v>
      </c>
      <c r="C66" s="114">
        <f>'3_statement_model'!G56-'3_statement_model'!G55</f>
        <v>1.2000000000000455</v>
      </c>
      <c r="D66" s="116" t="s">
        <v>168</v>
      </c>
      <c r="E66" s="238" t="s">
        <v>172</v>
      </c>
      <c r="F66" s="94"/>
      <c r="G66" s="106"/>
      <c r="H66" s="106"/>
      <c r="I66" s="106"/>
    </row>
    <row r="67" spans="2:9" x14ac:dyDescent="0.35">
      <c r="B67" s="98" t="s">
        <v>173</v>
      </c>
      <c r="C67" s="105">
        <v>250</v>
      </c>
      <c r="D67" s="116" t="s">
        <v>164</v>
      </c>
      <c r="E67" s="238" t="s">
        <v>174</v>
      </c>
      <c r="F67" s="94"/>
      <c r="H67" s="106"/>
      <c r="I67" s="106"/>
    </row>
    <row r="68" spans="2:9" x14ac:dyDescent="0.35">
      <c r="B68" s="92"/>
      <c r="C68" s="106"/>
      <c r="D68" s="107"/>
      <c r="E68" s="107"/>
      <c r="F68" s="94"/>
      <c r="G68" s="106"/>
      <c r="H68" s="106"/>
      <c r="I68" s="106"/>
    </row>
    <row r="69" spans="2:9" x14ac:dyDescent="0.35">
      <c r="B69" s="100" t="s">
        <v>175</v>
      </c>
      <c r="C69" s="90"/>
      <c r="D69" s="91"/>
      <c r="E69" s="91"/>
      <c r="F69" s="90"/>
      <c r="G69" s="90"/>
      <c r="H69" s="90"/>
      <c r="I69" s="90"/>
    </row>
    <row r="70" spans="2:9" x14ac:dyDescent="0.35">
      <c r="B70" s="102" t="s">
        <v>246</v>
      </c>
    </row>
    <row r="72" spans="2:9" x14ac:dyDescent="0.35">
      <c r="B72" s="240" t="s">
        <v>253</v>
      </c>
      <c r="C72" s="241"/>
      <c r="D72" s="242"/>
      <c r="E72" s="242"/>
      <c r="F72" s="243"/>
      <c r="G72" s="244"/>
    </row>
    <row r="73" spans="2:9" x14ac:dyDescent="0.35">
      <c r="B73" s="245" t="s">
        <v>250</v>
      </c>
      <c r="C73" s="246"/>
      <c r="D73" s="227"/>
      <c r="E73" s="227"/>
      <c r="F73" s="247"/>
      <c r="G73" s="248"/>
    </row>
    <row r="74" spans="2:9" x14ac:dyDescent="0.35">
      <c r="B74" s="249" t="s">
        <v>251</v>
      </c>
      <c r="C74" s="250"/>
      <c r="D74" s="251"/>
      <c r="E74" s="251"/>
      <c r="F74" s="252"/>
      <c r="G74" s="253"/>
    </row>
  </sheetData>
  <mergeCells count="1">
    <mergeCell ref="G2:I2"/>
  </mergeCells>
  <dataValidations count="1">
    <dataValidation type="list" allowBlank="1" showInputMessage="1" showErrorMessage="1" sqref="C5">
      <formula1>"1,2,3"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3_statement_model</vt:lpstr>
      <vt:lpstr>Revenue_Build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2026-10-15T13:02:52Z</dcterms:created>
  <dcterms:modified xsi:type="dcterms:W3CDTF">2026-10-19T19:20:26Z</dcterms:modified>
</cp:coreProperties>
</file>